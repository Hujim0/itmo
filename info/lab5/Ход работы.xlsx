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itmo\info\lab5\"/>
    </mc:Choice>
  </mc:AlternateContent>
  <xr:revisionPtr revIDLastSave="0" documentId="13_ncr:1_{E891F840-984C-4023-89F2-432EC2668DEC}" xr6:coauthVersionLast="47" xr6:coauthVersionMax="47" xr10:uidLastSave="{00000000-0000-0000-0000-000000000000}"/>
  <bookViews>
    <workbookView xWindow="-108" yWindow="-108" windowWidth="23256" windowHeight="12456" xr2:uid="{A6B155EC-2031-45B4-88CC-CA34D5B18F9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50" i="1" l="1"/>
  <c r="K60" i="1"/>
  <c r="P60" i="1"/>
  <c r="U60" i="1"/>
  <c r="K59" i="1"/>
  <c r="P59" i="1"/>
  <c r="U59" i="1"/>
  <c r="K53" i="1"/>
  <c r="P53" i="1"/>
  <c r="U53" i="1"/>
  <c r="K52" i="1"/>
  <c r="P52" i="1"/>
  <c r="U52" i="1"/>
  <c r="K46" i="1"/>
  <c r="P46" i="1"/>
  <c r="U46" i="1"/>
  <c r="K45" i="1"/>
  <c r="P45" i="1"/>
  <c r="U45" i="1"/>
  <c r="K39" i="1"/>
  <c r="P39" i="1"/>
  <c r="U39" i="1"/>
  <c r="K38" i="1"/>
  <c r="P38" i="1"/>
  <c r="U38" i="1"/>
  <c r="K32" i="1"/>
  <c r="P32" i="1"/>
  <c r="U32" i="1"/>
  <c r="U31" i="1"/>
  <c r="P31" i="1"/>
  <c r="K31" i="1"/>
  <c r="K25" i="1"/>
  <c r="P25" i="1"/>
  <c r="U25" i="1"/>
  <c r="K24" i="1"/>
  <c r="P24" i="1"/>
  <c r="U24" i="1"/>
  <c r="K18" i="1"/>
  <c r="P18" i="1"/>
  <c r="U18" i="1"/>
  <c r="K17" i="1"/>
  <c r="P17" i="1"/>
  <c r="U17" i="1"/>
  <c r="C7" i="1"/>
  <c r="C13" i="1" s="1"/>
  <c r="BS13" i="1" s="1"/>
  <c r="C6" i="1"/>
  <c r="C12" i="1" s="1"/>
  <c r="AG31" i="1" s="1"/>
  <c r="C5" i="1"/>
  <c r="C11" i="1" s="1"/>
  <c r="AG45" i="1" s="1"/>
  <c r="C4" i="1"/>
  <c r="AG52" i="1" s="1"/>
  <c r="AG18" i="1" l="1"/>
  <c r="AG39" i="1"/>
  <c r="AG24" i="1"/>
  <c r="AG53" i="1"/>
  <c r="AG55" i="1" s="1"/>
  <c r="BS11" i="1"/>
  <c r="BS5" i="1"/>
  <c r="Y13" i="1"/>
  <c r="BR13" i="1"/>
  <c r="AG46" i="1"/>
  <c r="AG48" i="1" s="1"/>
  <c r="AG25" i="1"/>
  <c r="AG27" i="1" s="1"/>
  <c r="BS4" i="1"/>
  <c r="BR4" i="1" s="1"/>
  <c r="AG17" i="1"/>
  <c r="AG60" i="1"/>
  <c r="BS12" i="1"/>
  <c r="BS7" i="1"/>
  <c r="BS6" i="1"/>
  <c r="C8" i="1"/>
  <c r="C10" i="1"/>
  <c r="C9" i="1"/>
  <c r="Y4" i="1" l="1"/>
  <c r="AG20" i="1"/>
  <c r="Y5" i="1"/>
  <c r="BR5" i="1"/>
  <c r="Y11" i="1"/>
  <c r="BR11" i="1"/>
  <c r="BQ4" i="1"/>
  <c r="X4" i="1"/>
  <c r="Y17" i="1"/>
  <c r="Y52" i="1"/>
  <c r="BR6" i="1"/>
  <c r="Y6" i="1"/>
  <c r="BR12" i="1"/>
  <c r="Y12" i="1"/>
  <c r="BR7" i="1"/>
  <c r="Y7" i="1"/>
  <c r="C15" i="1"/>
  <c r="BS15" i="1" s="1"/>
  <c r="BS9" i="1"/>
  <c r="AG38" i="1"/>
  <c r="AG41" i="1" s="1"/>
  <c r="BS10" i="1"/>
  <c r="AG32" i="1"/>
  <c r="AG34" i="1" s="1"/>
  <c r="C14" i="1"/>
  <c r="BS8" i="1"/>
  <c r="BQ13" i="1"/>
  <c r="X13" i="1"/>
  <c r="BQ11" i="1" l="1"/>
  <c r="X11" i="1"/>
  <c r="Y53" i="1"/>
  <c r="Y55" i="1" s="1"/>
  <c r="O57" i="1" s="1"/>
  <c r="Y39" i="1"/>
  <c r="Y45" i="1"/>
  <c r="BQ5" i="1"/>
  <c r="X5" i="1"/>
  <c r="Y24" i="1"/>
  <c r="Y18" i="1"/>
  <c r="Y20" i="1" s="1"/>
  <c r="BQ7" i="1"/>
  <c r="X7" i="1"/>
  <c r="BQ6" i="1"/>
  <c r="X6" i="1"/>
  <c r="BR15" i="1"/>
  <c r="Y15" i="1"/>
  <c r="Y46" i="1"/>
  <c r="Y31" i="1"/>
  <c r="Y25" i="1"/>
  <c r="Y60" i="1"/>
  <c r="BR8" i="1"/>
  <c r="Y8" i="1"/>
  <c r="AG59" i="1"/>
  <c r="AG62" i="1" s="1"/>
  <c r="BS14" i="1"/>
  <c r="X17" i="1"/>
  <c r="X52" i="1"/>
  <c r="BR9" i="1"/>
  <c r="Y9" i="1"/>
  <c r="BQ12" i="1"/>
  <c r="X12" i="1"/>
  <c r="BP13" i="1"/>
  <c r="W13" i="1"/>
  <c r="Y10" i="1"/>
  <c r="BR10" i="1"/>
  <c r="BP4" i="1"/>
  <c r="W4" i="1"/>
  <c r="O22" i="1" l="1"/>
  <c r="BP5" i="1"/>
  <c r="W5" i="1"/>
  <c r="X24" i="1"/>
  <c r="X18" i="1"/>
  <c r="X20" i="1"/>
  <c r="BP11" i="1"/>
  <c r="W11" i="1"/>
  <c r="X45" i="1"/>
  <c r="X48" i="1" s="1"/>
  <c r="X39" i="1"/>
  <c r="X53" i="1"/>
  <c r="X55" i="1" s="1"/>
  <c r="Y27" i="1"/>
  <c r="BN13" i="1"/>
  <c r="V13" i="1"/>
  <c r="X46" i="1"/>
  <c r="X31" i="1"/>
  <c r="Y48" i="1"/>
  <c r="O50" i="1" s="1"/>
  <c r="BN4" i="1"/>
  <c r="V4" i="1"/>
  <c r="BQ10" i="1"/>
  <c r="X10" i="1"/>
  <c r="BP6" i="1"/>
  <c r="W6" i="1"/>
  <c r="W52" i="1"/>
  <c r="W17" i="1"/>
  <c r="BQ15" i="1"/>
  <c r="X15" i="1"/>
  <c r="Y32" i="1"/>
  <c r="Y38" i="1"/>
  <c r="BR14" i="1"/>
  <c r="Y14" i="1"/>
  <c r="Y59" i="1" s="1"/>
  <c r="Y62" i="1" s="1"/>
  <c r="BQ8" i="1"/>
  <c r="X8" i="1"/>
  <c r="BP12" i="1"/>
  <c r="W12" i="1"/>
  <c r="BQ9" i="1"/>
  <c r="X9" i="1"/>
  <c r="X60" i="1"/>
  <c r="X25" i="1"/>
  <c r="BP7" i="1"/>
  <c r="W7" i="1"/>
  <c r="BN11" i="1" l="1"/>
  <c r="V11" i="1"/>
  <c r="W24" i="1"/>
  <c r="W18" i="1"/>
  <c r="W45" i="1"/>
  <c r="W39" i="1"/>
  <c r="W53" i="1"/>
  <c r="W55" i="1" s="1"/>
  <c r="W20" i="1"/>
  <c r="BN5" i="1"/>
  <c r="V5" i="1"/>
  <c r="BP9" i="1"/>
  <c r="W9" i="1"/>
  <c r="O29" i="1"/>
  <c r="Y34" i="1"/>
  <c r="W31" i="1"/>
  <c r="W46" i="1"/>
  <c r="BN12" i="1"/>
  <c r="V12" i="1"/>
  <c r="BN6" i="1"/>
  <c r="V6" i="1"/>
  <c r="X38" i="1"/>
  <c r="X32" i="1"/>
  <c r="BQ14" i="1"/>
  <c r="X14" i="1"/>
  <c r="X59" i="1" s="1"/>
  <c r="X62" i="1" s="1"/>
  <c r="V52" i="1"/>
  <c r="V17" i="1"/>
  <c r="BP15" i="1"/>
  <c r="W15" i="1"/>
  <c r="O64" i="1"/>
  <c r="W60" i="1"/>
  <c r="W25" i="1"/>
  <c r="BM13" i="1"/>
  <c r="T13" i="1"/>
  <c r="BP8" i="1"/>
  <c r="W8" i="1"/>
  <c r="X27" i="1"/>
  <c r="BP10" i="1"/>
  <c r="W10" i="1"/>
  <c r="BN7" i="1"/>
  <c r="V7" i="1"/>
  <c r="Y41" i="1"/>
  <c r="BM4" i="1"/>
  <c r="T4" i="1"/>
  <c r="X41" i="1" l="1"/>
  <c r="O36" i="1"/>
  <c r="W27" i="1"/>
  <c r="BM11" i="1"/>
  <c r="T11" i="1"/>
  <c r="V18" i="1"/>
  <c r="V20" i="1" s="1"/>
  <c r="T22" i="1" s="1"/>
  <c r="V24" i="1"/>
  <c r="BM5" i="1"/>
  <c r="T5" i="1"/>
  <c r="W48" i="1"/>
  <c r="V53" i="1"/>
  <c r="V55" i="1" s="1"/>
  <c r="V45" i="1"/>
  <c r="V39" i="1"/>
  <c r="BP14" i="1"/>
  <c r="W14" i="1"/>
  <c r="W59" i="1" s="1"/>
  <c r="W62" i="1" s="1"/>
  <c r="BL13" i="1"/>
  <c r="S13" i="1"/>
  <c r="BL4" i="1"/>
  <c r="S4" i="1"/>
  <c r="W38" i="1"/>
  <c r="W32" i="1"/>
  <c r="BN15" i="1"/>
  <c r="V15" i="1"/>
  <c r="BM12" i="1"/>
  <c r="T12" i="1"/>
  <c r="BN10" i="1"/>
  <c r="V10" i="1"/>
  <c r="BN8" i="1"/>
  <c r="V8" i="1"/>
  <c r="T17" i="1"/>
  <c r="T52" i="1"/>
  <c r="O43" i="1"/>
  <c r="V25" i="1"/>
  <c r="V60" i="1"/>
  <c r="BM6" i="1"/>
  <c r="T6" i="1"/>
  <c r="BN9" i="1"/>
  <c r="V9" i="1"/>
  <c r="BM7" i="1"/>
  <c r="T7" i="1"/>
  <c r="V46" i="1"/>
  <c r="V31" i="1"/>
  <c r="X34" i="1"/>
  <c r="W41" i="1" l="1"/>
  <c r="V48" i="1"/>
  <c r="T50" i="1" s="1"/>
  <c r="V27" i="1"/>
  <c r="T29" i="1" s="1"/>
  <c r="T24" i="1"/>
  <c r="T18" i="1"/>
  <c r="BL5" i="1"/>
  <c r="S5" i="1"/>
  <c r="T57" i="1"/>
  <c r="T39" i="1"/>
  <c r="T53" i="1"/>
  <c r="T55" i="1" s="1"/>
  <c r="T45" i="1"/>
  <c r="T48" i="1" s="1"/>
  <c r="BL11" i="1"/>
  <c r="S11" i="1"/>
  <c r="S17" i="1"/>
  <c r="S52" i="1"/>
  <c r="BK4" i="1"/>
  <c r="R4" i="1"/>
  <c r="BM8" i="1"/>
  <c r="T8" i="1"/>
  <c r="BK13" i="1"/>
  <c r="R13" i="1"/>
  <c r="V32" i="1"/>
  <c r="V38" i="1"/>
  <c r="V41" i="1" s="1"/>
  <c r="T60" i="1"/>
  <c r="T25" i="1"/>
  <c r="BM10" i="1"/>
  <c r="T10" i="1"/>
  <c r="BN14" i="1"/>
  <c r="V14" i="1"/>
  <c r="V59" i="1" s="1"/>
  <c r="W34" i="1"/>
  <c r="BL6" i="1"/>
  <c r="S6" i="1"/>
  <c r="T46" i="1"/>
  <c r="T31" i="1"/>
  <c r="BL12" i="1"/>
  <c r="S12" i="1"/>
  <c r="BM15" i="1"/>
  <c r="T15" i="1"/>
  <c r="BM9" i="1"/>
  <c r="T9" i="1"/>
  <c r="T20" i="1"/>
  <c r="BL7" i="1"/>
  <c r="S7" i="1"/>
  <c r="T27" i="1" l="1"/>
  <c r="V34" i="1"/>
  <c r="BK11" i="1"/>
  <c r="R11" i="1"/>
  <c r="S45" i="1"/>
  <c r="S39" i="1"/>
  <c r="S53" i="1"/>
  <c r="S55" i="1"/>
  <c r="S24" i="1"/>
  <c r="S18" i="1"/>
  <c r="S20" i="1" s="1"/>
  <c r="BK5" i="1"/>
  <c r="R5" i="1"/>
  <c r="BL9" i="1"/>
  <c r="S9" i="1"/>
  <c r="R52" i="1"/>
  <c r="R17" i="1"/>
  <c r="BI4" i="1"/>
  <c r="Q4" i="1"/>
  <c r="T43" i="1"/>
  <c r="S60" i="1"/>
  <c r="S25" i="1"/>
  <c r="S27" i="1" s="1"/>
  <c r="BI13" i="1"/>
  <c r="Q13" i="1"/>
  <c r="BK6" i="1"/>
  <c r="R6" i="1"/>
  <c r="BL8" i="1"/>
  <c r="S8" i="1"/>
  <c r="BM14" i="1"/>
  <c r="T14" i="1"/>
  <c r="T59" i="1" s="1"/>
  <c r="BK12" i="1"/>
  <c r="R12" i="1"/>
  <c r="BK7" i="1"/>
  <c r="R7" i="1"/>
  <c r="V62" i="1"/>
  <c r="T64" i="1" s="1"/>
  <c r="BL15" i="1"/>
  <c r="S15" i="1"/>
  <c r="T32" i="1"/>
  <c r="T38" i="1"/>
  <c r="T41" i="1" s="1"/>
  <c r="BL10" i="1"/>
  <c r="S10" i="1"/>
  <c r="S46" i="1"/>
  <c r="S48" i="1" s="1"/>
  <c r="S31" i="1"/>
  <c r="T36" i="1"/>
  <c r="T34" i="1" l="1"/>
  <c r="BI5" i="1"/>
  <c r="Q5" i="1"/>
  <c r="R45" i="1"/>
  <c r="R53" i="1"/>
  <c r="R39" i="1"/>
  <c r="R24" i="1"/>
  <c r="R18" i="1"/>
  <c r="R20" i="1" s="1"/>
  <c r="R55" i="1"/>
  <c r="BI11" i="1"/>
  <c r="Q11" i="1"/>
  <c r="S41" i="1"/>
  <c r="BK10" i="1"/>
  <c r="R10" i="1"/>
  <c r="BL14" i="1"/>
  <c r="S14" i="1"/>
  <c r="S59" i="1" s="1"/>
  <c r="BK15" i="1"/>
  <c r="R15" i="1"/>
  <c r="T62" i="1"/>
  <c r="S38" i="1"/>
  <c r="S32" i="1"/>
  <c r="S34" i="1" s="1"/>
  <c r="BI12" i="1"/>
  <c r="Q12" i="1"/>
  <c r="Q52" i="1"/>
  <c r="Q17" i="1"/>
  <c r="BK9" i="1"/>
  <c r="R9" i="1"/>
  <c r="O4" i="1"/>
  <c r="BH4" i="1"/>
  <c r="BK8" i="1"/>
  <c r="R8" i="1"/>
  <c r="R25" i="1"/>
  <c r="R27" i="1" s="1"/>
  <c r="R60" i="1"/>
  <c r="BI6" i="1"/>
  <c r="Q6" i="1"/>
  <c r="BH13" i="1"/>
  <c r="O13" i="1"/>
  <c r="BI7" i="1"/>
  <c r="Q7" i="1"/>
  <c r="R46" i="1"/>
  <c r="R48" i="1" s="1"/>
  <c r="R31" i="1"/>
  <c r="BH11" i="1" l="1"/>
  <c r="O11" i="1"/>
  <c r="Q18" i="1"/>
  <c r="Q20" i="1" s="1"/>
  <c r="Q24" i="1"/>
  <c r="Q45" i="1"/>
  <c r="Q39" i="1"/>
  <c r="Q53" i="1"/>
  <c r="Q55" i="1" s="1"/>
  <c r="BH5" i="1"/>
  <c r="O5" i="1"/>
  <c r="BI15" i="1"/>
  <c r="Q15" i="1"/>
  <c r="BG13" i="1"/>
  <c r="N13" i="1"/>
  <c r="BK14" i="1"/>
  <c r="R14" i="1"/>
  <c r="R59" i="1" s="1"/>
  <c r="BH6" i="1"/>
  <c r="O6" i="1"/>
  <c r="BH7" i="1"/>
  <c r="O7" i="1"/>
  <c r="O17" i="1"/>
  <c r="O52" i="1"/>
  <c r="R38" i="1"/>
  <c r="R41" i="1" s="1"/>
  <c r="R32" i="1"/>
  <c r="R34" i="1" s="1"/>
  <c r="BI10" i="1"/>
  <c r="Q10" i="1"/>
  <c r="Q31" i="1"/>
  <c r="Q46" i="1"/>
  <c r="BI9" i="1"/>
  <c r="Q9" i="1"/>
  <c r="Q60" i="1"/>
  <c r="Q25" i="1"/>
  <c r="Q27" i="1" s="1"/>
  <c r="BH12" i="1"/>
  <c r="O12" i="1"/>
  <c r="BI8" i="1"/>
  <c r="Q8" i="1"/>
  <c r="N4" i="1"/>
  <c r="BG4" i="1"/>
  <c r="S62" i="1"/>
  <c r="Q48" i="1" l="1"/>
  <c r="O24" i="1"/>
  <c r="O18" i="1"/>
  <c r="O20" i="1" s="1"/>
  <c r="O39" i="1"/>
  <c r="O53" i="1"/>
  <c r="O55" i="1" s="1"/>
  <c r="O45" i="1"/>
  <c r="BG11" i="1"/>
  <c r="N11" i="1"/>
  <c r="BG5" i="1"/>
  <c r="N5" i="1"/>
  <c r="N17" i="1"/>
  <c r="N52" i="1"/>
  <c r="O31" i="1"/>
  <c r="O46" i="1"/>
  <c r="BH10" i="1"/>
  <c r="O10" i="1"/>
  <c r="BG12" i="1"/>
  <c r="N12" i="1"/>
  <c r="BF13" i="1"/>
  <c r="M13" i="1"/>
  <c r="BG6" i="1"/>
  <c r="N6" i="1"/>
  <c r="BH8" i="1"/>
  <c r="O8" i="1"/>
  <c r="Q32" i="1"/>
  <c r="Q38" i="1"/>
  <c r="Q41" i="1" s="1"/>
  <c r="BI14" i="1"/>
  <c r="Q14" i="1"/>
  <c r="Q59" i="1" s="1"/>
  <c r="R62" i="1"/>
  <c r="BH9" i="1"/>
  <c r="O9" i="1"/>
  <c r="O25" i="1"/>
  <c r="O27" i="1" s="1"/>
  <c r="O60" i="1"/>
  <c r="Q34" i="1"/>
  <c r="BH15" i="1"/>
  <c r="O15" i="1"/>
  <c r="BF4" i="1"/>
  <c r="M4" i="1"/>
  <c r="BG7" i="1"/>
  <c r="N7" i="1"/>
  <c r="N39" i="1" l="1"/>
  <c r="N53" i="1"/>
  <c r="N55" i="1" s="1"/>
  <c r="N45" i="1"/>
  <c r="BF11" i="1"/>
  <c r="M11" i="1"/>
  <c r="N24" i="1"/>
  <c r="N18" i="1"/>
  <c r="N20" i="1" s="1"/>
  <c r="BF5" i="1"/>
  <c r="M5" i="1"/>
  <c r="O48" i="1"/>
  <c r="N48" i="1" s="1"/>
  <c r="M17" i="1"/>
  <c r="M52" i="1"/>
  <c r="BG8" i="1"/>
  <c r="N8" i="1"/>
  <c r="N31" i="1"/>
  <c r="N46" i="1"/>
  <c r="L4" i="1"/>
  <c r="BD4" i="1"/>
  <c r="BF12" i="1"/>
  <c r="M12" i="1"/>
  <c r="BH14" i="1"/>
  <c r="O14" i="1"/>
  <c r="O59" i="1" s="1"/>
  <c r="BG15" i="1"/>
  <c r="N15" i="1"/>
  <c r="N25" i="1"/>
  <c r="N60" i="1"/>
  <c r="BF6" i="1"/>
  <c r="M6" i="1"/>
  <c r="Q62" i="1"/>
  <c r="O32" i="1"/>
  <c r="O34" i="1" s="1"/>
  <c r="O38" i="1"/>
  <c r="O41" i="1" s="1"/>
  <c r="BG10" i="1"/>
  <c r="N10" i="1"/>
  <c r="BG9" i="1"/>
  <c r="N9" i="1"/>
  <c r="BF7" i="1"/>
  <c r="M7" i="1"/>
  <c r="BD13" i="1"/>
  <c r="L13" i="1"/>
  <c r="BD5" i="1" l="1"/>
  <c r="L5" i="1"/>
  <c r="M53" i="1"/>
  <c r="M55" i="1" s="1"/>
  <c r="M45" i="1"/>
  <c r="M39" i="1"/>
  <c r="M18" i="1"/>
  <c r="M20" i="1" s="1"/>
  <c r="M24" i="1"/>
  <c r="N27" i="1"/>
  <c r="M27" i="1" s="1"/>
  <c r="BD11" i="1"/>
  <c r="L11" i="1"/>
  <c r="BF9" i="1"/>
  <c r="M9" i="1"/>
  <c r="N32" i="1"/>
  <c r="N34" i="1" s="1"/>
  <c r="N38" i="1"/>
  <c r="N41" i="1" s="1"/>
  <c r="BF10" i="1"/>
  <c r="M10" i="1"/>
  <c r="M46" i="1"/>
  <c r="M31" i="1"/>
  <c r="BD12" i="1"/>
  <c r="L12" i="1"/>
  <c r="M48" i="1"/>
  <c r="L17" i="1"/>
  <c r="L52" i="1"/>
  <c r="BD6" i="1"/>
  <c r="L6" i="1"/>
  <c r="BD7" i="1"/>
  <c r="L7" i="1"/>
  <c r="BF8" i="1"/>
  <c r="M8" i="1"/>
  <c r="BF15" i="1"/>
  <c r="M15" i="1"/>
  <c r="BG14" i="1"/>
  <c r="N14" i="1"/>
  <c r="N59" i="1" s="1"/>
  <c r="J4" i="1"/>
  <c r="BC4" i="1"/>
  <c r="O62" i="1"/>
  <c r="M60" i="1"/>
  <c r="M25" i="1"/>
  <c r="BC13" i="1"/>
  <c r="J13" i="1"/>
  <c r="N62" i="1" l="1"/>
  <c r="L53" i="1"/>
  <c r="L45" i="1"/>
  <c r="L39" i="1"/>
  <c r="BC11" i="1"/>
  <c r="J11" i="1"/>
  <c r="L18" i="1"/>
  <c r="L24" i="1"/>
  <c r="L20" i="1"/>
  <c r="BC5" i="1"/>
  <c r="J5" i="1"/>
  <c r="L25" i="1"/>
  <c r="L60" i="1"/>
  <c r="BD9" i="1"/>
  <c r="L9" i="1"/>
  <c r="BC7" i="1"/>
  <c r="J7" i="1"/>
  <c r="BC6" i="1"/>
  <c r="J6" i="1"/>
  <c r="J17" i="1"/>
  <c r="J52" i="1"/>
  <c r="BF14" i="1"/>
  <c r="M14" i="1"/>
  <c r="M59" i="1" s="1"/>
  <c r="L46" i="1"/>
  <c r="L31" i="1"/>
  <c r="BC12" i="1"/>
  <c r="J12" i="1"/>
  <c r="BD15" i="1"/>
  <c r="L15" i="1"/>
  <c r="BB4" i="1"/>
  <c r="I4" i="1"/>
  <c r="BB13" i="1"/>
  <c r="I13" i="1"/>
  <c r="BD8" i="1"/>
  <c r="L8" i="1"/>
  <c r="M38" i="1"/>
  <c r="M41" i="1" s="1"/>
  <c r="M32" i="1"/>
  <c r="M34" i="1" s="1"/>
  <c r="BD10" i="1"/>
  <c r="L10" i="1"/>
  <c r="L55" i="1"/>
  <c r="M62" i="1" l="1"/>
  <c r="L27" i="1"/>
  <c r="BB11" i="1"/>
  <c r="I11" i="1"/>
  <c r="J18" i="1"/>
  <c r="J20" i="1" s="1"/>
  <c r="J24" i="1"/>
  <c r="BB5" i="1"/>
  <c r="I5" i="1"/>
  <c r="J45" i="1"/>
  <c r="J53" i="1"/>
  <c r="J55" i="1" s="1"/>
  <c r="J39" i="1"/>
  <c r="L48" i="1"/>
  <c r="BB12" i="1"/>
  <c r="I12" i="1"/>
  <c r="BC15" i="1"/>
  <c r="J15" i="1"/>
  <c r="J31" i="1"/>
  <c r="J46" i="1"/>
  <c r="BC8" i="1"/>
  <c r="J8" i="1"/>
  <c r="BA13" i="1"/>
  <c r="G13" i="1" s="1"/>
  <c r="H13" i="1"/>
  <c r="I52" i="1"/>
  <c r="I17" i="1"/>
  <c r="H4" i="1"/>
  <c r="BA4" i="1"/>
  <c r="G4" i="1" s="1"/>
  <c r="L38" i="1"/>
  <c r="L41" i="1" s="1"/>
  <c r="L32" i="1"/>
  <c r="L34" i="1" s="1"/>
  <c r="J25" i="1"/>
  <c r="J60" i="1"/>
  <c r="BB7" i="1"/>
  <c r="I7" i="1"/>
  <c r="BC9" i="1"/>
  <c r="J9" i="1"/>
  <c r="J27" i="1"/>
  <c r="BD14" i="1"/>
  <c r="L14" i="1"/>
  <c r="L59" i="1" s="1"/>
  <c r="BC10" i="1"/>
  <c r="J10" i="1"/>
  <c r="BB6" i="1"/>
  <c r="I6" i="1"/>
  <c r="J48" i="1" l="1"/>
  <c r="BA5" i="1"/>
  <c r="G5" i="1" s="1"/>
  <c r="H5" i="1"/>
  <c r="I53" i="1"/>
  <c r="I45" i="1"/>
  <c r="I39" i="1"/>
  <c r="BA11" i="1"/>
  <c r="G11" i="1" s="1"/>
  <c r="H11" i="1"/>
  <c r="I55" i="1"/>
  <c r="I18" i="1"/>
  <c r="I20" i="1" s="1"/>
  <c r="I24" i="1"/>
  <c r="BB10" i="1"/>
  <c r="I10" i="1"/>
  <c r="G17" i="1"/>
  <c r="G52" i="1"/>
  <c r="BB9" i="1"/>
  <c r="I9" i="1"/>
  <c r="BA7" i="1"/>
  <c r="G7" i="1" s="1"/>
  <c r="H7" i="1"/>
  <c r="I31" i="1"/>
  <c r="I46" i="1"/>
  <c r="BA6" i="1"/>
  <c r="G6" i="1" s="1"/>
  <c r="H6" i="1"/>
  <c r="BB8" i="1"/>
  <c r="I8" i="1"/>
  <c r="BC14" i="1"/>
  <c r="J14" i="1"/>
  <c r="J59" i="1" s="1"/>
  <c r="H52" i="1"/>
  <c r="H17" i="1"/>
  <c r="BB15" i="1"/>
  <c r="I15" i="1"/>
  <c r="BA12" i="1"/>
  <c r="G12" i="1" s="1"/>
  <c r="H12" i="1"/>
  <c r="L62" i="1"/>
  <c r="I60" i="1"/>
  <c r="I25" i="1"/>
  <c r="J32" i="1"/>
  <c r="J34" i="1" s="1"/>
  <c r="J38" i="1"/>
  <c r="J41" i="1" s="1"/>
  <c r="I48" i="1" l="1"/>
  <c r="H39" i="1"/>
  <c r="H53" i="1"/>
  <c r="H45" i="1"/>
  <c r="H55" i="1"/>
  <c r="G53" i="1"/>
  <c r="G39" i="1"/>
  <c r="G45" i="1"/>
  <c r="I27" i="1"/>
  <c r="H24" i="1"/>
  <c r="H18" i="1"/>
  <c r="H20" i="1" s="1"/>
  <c r="G24" i="1"/>
  <c r="G18" i="1"/>
  <c r="BA8" i="1"/>
  <c r="G8" i="1" s="1"/>
  <c r="H8" i="1"/>
  <c r="BA9" i="1"/>
  <c r="G9" i="1" s="1"/>
  <c r="H9" i="1"/>
  <c r="BA15" i="1"/>
  <c r="G15" i="1" s="1"/>
  <c r="H15" i="1"/>
  <c r="BB14" i="1"/>
  <c r="I14" i="1"/>
  <c r="I59" i="1" s="1"/>
  <c r="H60" i="1"/>
  <c r="H25" i="1"/>
  <c r="H46" i="1"/>
  <c r="H31" i="1"/>
  <c r="G25" i="1"/>
  <c r="G60" i="1"/>
  <c r="I38" i="1"/>
  <c r="I41" i="1" s="1"/>
  <c r="I32" i="1"/>
  <c r="I34" i="1" s="1"/>
  <c r="G46" i="1"/>
  <c r="G31" i="1"/>
  <c r="BA10" i="1"/>
  <c r="G10" i="1" s="1"/>
  <c r="H10" i="1"/>
  <c r="J62" i="1"/>
  <c r="I62" i="1" s="1"/>
  <c r="H48" i="1" l="1"/>
  <c r="G48" i="1" s="1"/>
  <c r="H27" i="1"/>
  <c r="G27" i="1" s="1"/>
  <c r="J29" i="1" s="1"/>
  <c r="G20" i="1"/>
  <c r="G55" i="1"/>
  <c r="G32" i="1"/>
  <c r="G38" i="1"/>
  <c r="BA14" i="1"/>
  <c r="G14" i="1" s="1"/>
  <c r="G59" i="1" s="1"/>
  <c r="H14" i="1"/>
  <c r="H59" i="1" s="1"/>
  <c r="H62" i="1" s="1"/>
  <c r="H38" i="1"/>
  <c r="H41" i="1" s="1"/>
  <c r="H32" i="1"/>
  <c r="H34" i="1" s="1"/>
  <c r="J22" i="1" l="1"/>
  <c r="Y22" i="1"/>
  <c r="Y50" i="1"/>
  <c r="J50" i="1"/>
  <c r="AB50" i="1"/>
  <c r="AA48" i="1" s="1"/>
  <c r="G34" i="1"/>
  <c r="AB36" i="1" s="1"/>
  <c r="AA34" i="1" s="1"/>
  <c r="G62" i="1"/>
  <c r="Y64" i="1" s="1"/>
  <c r="AD22" i="1"/>
  <c r="Y57" i="1"/>
  <c r="AB57" i="1"/>
  <c r="AA55" i="1" s="1"/>
  <c r="AD57" i="1"/>
  <c r="J57" i="1"/>
  <c r="AB22" i="1"/>
  <c r="AA20" i="1" s="1"/>
  <c r="G41" i="1"/>
  <c r="AD43" i="1" s="1"/>
  <c r="Y29" i="1"/>
  <c r="AB29" i="1"/>
  <c r="AA27" i="1"/>
  <c r="AD29" i="1"/>
  <c r="J36" i="1" l="1"/>
  <c r="AD36" i="1"/>
  <c r="Y36" i="1"/>
  <c r="J64" i="1"/>
  <c r="AB64" i="1"/>
  <c r="AD64" i="1"/>
  <c r="AA62" i="1"/>
  <c r="AB43" i="1"/>
  <c r="AA41" i="1" s="1"/>
  <c r="Y43" i="1"/>
  <c r="J43" i="1"/>
</calcChain>
</file>

<file path=xl/sharedStrings.xml><?xml version="1.0" encoding="utf-8"?>
<sst xmlns="http://schemas.openxmlformats.org/spreadsheetml/2006/main" count="228" uniqueCount="70">
  <si>
    <t>A=</t>
  </si>
  <si>
    <t>C=</t>
  </si>
  <si>
    <t>X1=</t>
  </si>
  <si>
    <t>X2=</t>
  </si>
  <si>
    <t>X3=</t>
  </si>
  <si>
    <t>X4=</t>
  </si>
  <si>
    <t>X5=</t>
  </si>
  <si>
    <t>X6=</t>
  </si>
  <si>
    <t>X7=</t>
  </si>
  <si>
    <t>X8=</t>
  </si>
  <si>
    <t>X9=</t>
  </si>
  <si>
    <t>X10=</t>
  </si>
  <si>
    <t>X11=</t>
  </si>
  <si>
    <t>X12=</t>
  </si>
  <si>
    <t>A + C=</t>
  </si>
  <si>
    <t>A + C + C=</t>
  </si>
  <si>
    <t>65536 - X4=</t>
  </si>
  <si>
    <t>C - A=</t>
  </si>
  <si>
    <t xml:space="preserve"> -X1=</t>
  </si>
  <si>
    <t xml:space="preserve"> -X3=</t>
  </si>
  <si>
    <t xml:space="preserve"> -X4=</t>
  </si>
  <si>
    <t xml:space="preserve"> -X5=</t>
  </si>
  <si>
    <t xml:space="preserve"> -X6=</t>
  </si>
  <si>
    <t xml:space="preserve"> -X2=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</si>
  <si>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</si>
  <si>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</si>
  <si>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</si>
  <si>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</si>
  <si>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</si>
  <si>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</si>
  <si>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</si>
  <si>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</si>
  <si>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</si>
  <si>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</si>
  <si>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</si>
  <si>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</si>
  <si>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 xml:space="preserve"> -B1=</t>
  </si>
  <si>
    <t xml:space="preserve"> -B2=</t>
  </si>
  <si>
    <t xml:space="preserve"> -B3=</t>
  </si>
  <si>
    <t xml:space="preserve"> -B4=</t>
  </si>
  <si>
    <t xml:space="preserve"> -B5=</t>
  </si>
  <si>
    <t xml:space="preserve"> -B6=</t>
  </si>
  <si>
    <t>.</t>
  </si>
  <si>
    <t>+</t>
  </si>
  <si>
    <t xml:space="preserve"> --------------------------------------------------------------------------</t>
  </si>
  <si>
    <t xml:space="preserve"> =</t>
  </si>
  <si>
    <r>
      <rPr>
        <vertAlign val="subscript"/>
        <sz val="11"/>
        <color theme="1"/>
        <rFont val="Calibri"/>
        <family val="2"/>
        <charset val="204"/>
        <scheme val="minor"/>
      </rPr>
      <t>(2)</t>
    </r>
    <r>
      <rPr>
        <sz val="11"/>
        <color theme="1"/>
        <rFont val="Calibri"/>
        <family val="2"/>
        <charset val="204"/>
        <scheme val="minor"/>
      </rPr>
      <t>=</t>
    </r>
  </si>
  <si>
    <t>(10)</t>
  </si>
  <si>
    <r>
      <t>X1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</si>
  <si>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X2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</si>
  <si>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</si>
  <si>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B2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</si>
  <si>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t>---------------------------------------------------------</t>
  </si>
  <si>
    <t>CF=</t>
  </si>
  <si>
    <t>PF=</t>
  </si>
  <si>
    <t>AF=</t>
  </si>
  <si>
    <t>ZF=</t>
  </si>
  <si>
    <t>SF=</t>
  </si>
  <si>
    <t>OF=</t>
  </si>
  <si>
    <r>
      <t>B3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</si>
  <si>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X3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</si>
  <si>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B7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</si>
  <si>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X7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</si>
  <si>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B8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</si>
  <si>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B9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</si>
  <si>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X8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</si>
  <si>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X9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</si>
  <si>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r>
      <t>B11</t>
    </r>
    <r>
      <rPr>
        <vertAlign val="subscript"/>
        <sz val="11"/>
        <color theme="1"/>
        <rFont val="Calibri"/>
        <family val="2"/>
        <charset val="204"/>
        <scheme val="minor"/>
      </rPr>
      <t>(2)</t>
    </r>
  </si>
  <si>
    <r>
      <t>X11</t>
    </r>
    <r>
      <rPr>
        <vertAlign val="subscript"/>
        <sz val="11"/>
        <color theme="1"/>
        <rFont val="Calibri"/>
        <family val="2"/>
        <charset val="204"/>
        <scheme val="minor"/>
      </rPr>
      <t>(10)</t>
    </r>
  </si>
  <si>
    <t>Область допустимых значений функции: [-32768; 32767]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</si>
</sst>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49" fontId="2" fillId="0" borderId="0" xfId="0" applyNumberFormat="1" applyFont="1"/>
    <xf numFmtId="0" fontId="0" fillId="0" borderId="0" xfId="0" applyAlignme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 wrapText="1"/>
    </xf>
  </cellXfs>
  <cellStyles count="1">
    <cellStyle name="Обычный" xfId="0" builtinId="0"/>
  </cellStyles>
  <dxfs count="2">
    <dxf>
      <font>
        <b val="0"/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BDE73-B939-4CB6-BE08-3223A6525999}">
  <dimension ref="A1:BS64"/>
  <sheetViews>
    <sheetView tabSelected="1" zoomScale="104" zoomScaleNormal="78" workbookViewId="0">
      <selection activeCell="AC9" sqref="AC9"/>
    </sheetView>
  </sheetViews>
  <sheetFormatPr defaultRowHeight="14.4" x14ac:dyDescent="0.3"/>
  <cols>
    <col min="1" max="1" width="7.33203125" style="1" customWidth="1"/>
    <col min="2" max="2" width="10.6640625" style="2" customWidth="1"/>
    <col min="4" max="4" width="2.77734375" customWidth="1"/>
    <col min="5" max="5" width="5.109375" customWidth="1"/>
    <col min="6" max="6" width="4.88671875" customWidth="1"/>
    <col min="7" max="8" width="2.109375" customWidth="1"/>
    <col min="9" max="25" width="2.109375" style="1" customWidth="1"/>
    <col min="26" max="26" width="5.109375" style="1" customWidth="1"/>
    <col min="27" max="27" width="7.6640625" style="1" customWidth="1"/>
    <col min="28" max="28" width="2.77734375" customWidth="1"/>
    <col min="29" max="29" width="7.44140625" customWidth="1"/>
    <col min="30" max="30" width="2" customWidth="1"/>
    <col min="31" max="31" width="6.88671875" customWidth="1"/>
    <col min="32" max="32" width="4.5546875" customWidth="1"/>
    <col min="34" max="34" width="2.6640625" customWidth="1"/>
  </cols>
  <sheetData>
    <row r="1" spans="1:71" x14ac:dyDescent="0.3">
      <c r="B1" s="2" t="s">
        <v>0</v>
      </c>
      <c r="C1">
        <v>5811</v>
      </c>
      <c r="F1" s="6"/>
    </row>
    <row r="2" spans="1:71" x14ac:dyDescent="0.3">
      <c r="B2" s="2" t="s">
        <v>1</v>
      </c>
      <c r="C2">
        <v>15553</v>
      </c>
    </row>
    <row r="4" spans="1:71" x14ac:dyDescent="0.3">
      <c r="A4" s="1" t="s">
        <v>2</v>
      </c>
      <c r="B4" s="2" t="s">
        <v>0</v>
      </c>
      <c r="C4">
        <f>$C$1</f>
        <v>5811</v>
      </c>
      <c r="E4" t="s">
        <v>24</v>
      </c>
      <c r="G4" s="1">
        <f t="shared" ref="G4:G15" si="0">MOD(BA4,2)</f>
        <v>0</v>
      </c>
      <c r="H4" s="1">
        <f t="shared" ref="H4:H15" si="1">MOD(BB4,2)</f>
        <v>0</v>
      </c>
      <c r="I4" s="1">
        <f t="shared" ref="I4:I15" si="2">MOD(BC4,2)</f>
        <v>0</v>
      </c>
      <c r="J4" s="1">
        <f t="shared" ref="J4:J15" si="3">MOD(BD4,2)</f>
        <v>1</v>
      </c>
      <c r="K4" s="1" t="s">
        <v>42</v>
      </c>
      <c r="L4" s="1">
        <f t="shared" ref="L4:L15" si="4">MOD(BF4,2)</f>
        <v>0</v>
      </c>
      <c r="M4" s="1">
        <f t="shared" ref="M4:M15" si="5">MOD(BG4,2)</f>
        <v>1</v>
      </c>
      <c r="N4" s="1">
        <f t="shared" ref="N4:N15" si="6">MOD(BH4,2)</f>
        <v>1</v>
      </c>
      <c r="O4" s="1">
        <f t="shared" ref="O4:O15" si="7">MOD(BI4,2)</f>
        <v>0</v>
      </c>
      <c r="P4" s="1" t="s">
        <v>42</v>
      </c>
      <c r="Q4" s="1">
        <f t="shared" ref="Q4:Q15" si="8">MOD(BK4,2)</f>
        <v>1</v>
      </c>
      <c r="R4" s="1">
        <f t="shared" ref="R4:R15" si="9">MOD(BL4,2)</f>
        <v>0</v>
      </c>
      <c r="S4" s="1">
        <f t="shared" ref="S4:S15" si="10">MOD(BM4,2)</f>
        <v>1</v>
      </c>
      <c r="T4" s="1">
        <f t="shared" ref="T4:T15" si="11">MOD(BN4,2)</f>
        <v>1</v>
      </c>
      <c r="U4" s="1" t="s">
        <v>42</v>
      </c>
      <c r="V4" s="1">
        <f t="shared" ref="V4:V15" si="12">MOD(BP4,2)</f>
        <v>0</v>
      </c>
      <c r="W4" s="1">
        <f t="shared" ref="W4:W15" si="13">MOD(BQ4,2)</f>
        <v>0</v>
      </c>
      <c r="X4" s="1">
        <f t="shared" ref="X4:X15" si="14">MOD(BR4,2)</f>
        <v>1</v>
      </c>
      <c r="Y4" s="1">
        <f t="shared" ref="Y4:Y15" si="15">MOD(BS4,2)</f>
        <v>1</v>
      </c>
      <c r="BA4">
        <f>INT(BB4 /2)</f>
        <v>0</v>
      </c>
      <c r="BB4">
        <f>INT(BC4 /2)</f>
        <v>0</v>
      </c>
      <c r="BC4">
        <f>INT(BD4 /2)</f>
        <v>0</v>
      </c>
      <c r="BD4">
        <f>INT(BF4 /2)</f>
        <v>1</v>
      </c>
      <c r="BF4">
        <f>INT(BG4 /2)</f>
        <v>2</v>
      </c>
      <c r="BG4">
        <f>INT(BH4 /2)</f>
        <v>5</v>
      </c>
      <c r="BH4">
        <f>INT(BI4 /2)</f>
        <v>11</v>
      </c>
      <c r="BI4">
        <f>INT(BK4 /2)</f>
        <v>22</v>
      </c>
      <c r="BK4">
        <f>INT(BL4 /2)</f>
        <v>45</v>
      </c>
      <c r="BL4">
        <f>INT(BM4 /2)</f>
        <v>90</v>
      </c>
      <c r="BM4">
        <f>INT(BN4 /2)</f>
        <v>181</v>
      </c>
      <c r="BN4">
        <f>INT(BP4 /2)</f>
        <v>363</v>
      </c>
      <c r="BP4">
        <f>INT(BQ4 /2)</f>
        <v>726</v>
      </c>
      <c r="BQ4">
        <f>INT(BR4 /2)</f>
        <v>1452</v>
      </c>
      <c r="BR4">
        <f>INT(BS4 /2)</f>
        <v>2905</v>
      </c>
      <c r="BS4">
        <f>IF(C4 &lt; 0, C4 + 65536, C4)</f>
        <v>5811</v>
      </c>
    </row>
    <row r="5" spans="1:71" x14ac:dyDescent="0.3">
      <c r="A5" s="1" t="s">
        <v>3</v>
      </c>
      <c r="B5" s="2" t="s">
        <v>1</v>
      </c>
      <c r="C5">
        <f>$C$2</f>
        <v>15553</v>
      </c>
      <c r="E5" t="s">
        <v>25</v>
      </c>
      <c r="G5" s="1">
        <f t="shared" si="0"/>
        <v>0</v>
      </c>
      <c r="H5" s="1">
        <f t="shared" si="1"/>
        <v>0</v>
      </c>
      <c r="I5" s="1">
        <f t="shared" si="2"/>
        <v>1</v>
      </c>
      <c r="J5" s="1">
        <f t="shared" si="3"/>
        <v>1</v>
      </c>
      <c r="K5" s="1" t="s">
        <v>42</v>
      </c>
      <c r="L5" s="1">
        <f t="shared" si="4"/>
        <v>1</v>
      </c>
      <c r="M5" s="1">
        <f t="shared" si="5"/>
        <v>1</v>
      </c>
      <c r="N5" s="1">
        <f t="shared" si="6"/>
        <v>0</v>
      </c>
      <c r="O5" s="1">
        <f t="shared" si="7"/>
        <v>0</v>
      </c>
      <c r="P5" s="1" t="s">
        <v>42</v>
      </c>
      <c r="Q5" s="1">
        <f t="shared" si="8"/>
        <v>1</v>
      </c>
      <c r="R5" s="1">
        <f t="shared" si="9"/>
        <v>1</v>
      </c>
      <c r="S5" s="1">
        <f t="shared" si="10"/>
        <v>0</v>
      </c>
      <c r="T5" s="1">
        <f t="shared" si="11"/>
        <v>0</v>
      </c>
      <c r="U5" s="1" t="s">
        <v>42</v>
      </c>
      <c r="V5" s="1">
        <f t="shared" si="12"/>
        <v>0</v>
      </c>
      <c r="W5" s="1">
        <f t="shared" si="13"/>
        <v>0</v>
      </c>
      <c r="X5" s="1">
        <f t="shared" si="14"/>
        <v>0</v>
      </c>
      <c r="Y5" s="1">
        <f t="shared" si="15"/>
        <v>1</v>
      </c>
      <c r="BA5">
        <f t="shared" ref="BA5:BC5" si="16">INT(BB5 /2)</f>
        <v>0</v>
      </c>
      <c r="BB5">
        <f t="shared" si="16"/>
        <v>0</v>
      </c>
      <c r="BC5">
        <f t="shared" si="16"/>
        <v>1</v>
      </c>
      <c r="BD5">
        <f t="shared" ref="BD5:BD15" si="17">INT(BF5 /2)</f>
        <v>3</v>
      </c>
      <c r="BF5">
        <f t="shared" ref="BF5:BH5" si="18">INT(BG5 /2)</f>
        <v>7</v>
      </c>
      <c r="BG5">
        <f t="shared" si="18"/>
        <v>15</v>
      </c>
      <c r="BH5">
        <f t="shared" si="18"/>
        <v>30</v>
      </c>
      <c r="BI5">
        <f t="shared" ref="BI5:BI15" si="19">INT(BK5 /2)</f>
        <v>60</v>
      </c>
      <c r="BK5">
        <f t="shared" ref="BK5:BM5" si="20">INT(BL5 /2)</f>
        <v>121</v>
      </c>
      <c r="BL5">
        <f t="shared" si="20"/>
        <v>243</v>
      </c>
      <c r="BM5">
        <f t="shared" si="20"/>
        <v>486</v>
      </c>
      <c r="BN5">
        <f t="shared" ref="BN5:BN15" si="21">INT(BP5 /2)</f>
        <v>972</v>
      </c>
      <c r="BP5">
        <f t="shared" ref="BP5:BR5" si="22">INT(BQ5 /2)</f>
        <v>1944</v>
      </c>
      <c r="BQ5">
        <f t="shared" si="22"/>
        <v>3888</v>
      </c>
      <c r="BR5">
        <f t="shared" si="22"/>
        <v>7776</v>
      </c>
      <c r="BS5">
        <f t="shared" ref="BS5:BS15" si="23">IF(C5 &lt; 0, C5 + 65536, C5)</f>
        <v>15553</v>
      </c>
    </row>
    <row r="6" spans="1:71" x14ac:dyDescent="0.3">
      <c r="A6" s="1" t="s">
        <v>4</v>
      </c>
      <c r="B6" s="2" t="s">
        <v>14</v>
      </c>
      <c r="C6">
        <f>$C$1 +$C$2</f>
        <v>21364</v>
      </c>
      <c r="E6" t="s">
        <v>26</v>
      </c>
      <c r="G6" s="1">
        <f t="shared" si="0"/>
        <v>0</v>
      </c>
      <c r="H6" s="1">
        <f t="shared" si="1"/>
        <v>1</v>
      </c>
      <c r="I6" s="1">
        <f t="shared" si="2"/>
        <v>0</v>
      </c>
      <c r="J6" s="1">
        <f t="shared" si="3"/>
        <v>1</v>
      </c>
      <c r="K6" s="1" t="s">
        <v>42</v>
      </c>
      <c r="L6" s="1">
        <f t="shared" si="4"/>
        <v>0</v>
      </c>
      <c r="M6" s="1">
        <f t="shared" si="5"/>
        <v>0</v>
      </c>
      <c r="N6" s="1">
        <f t="shared" si="6"/>
        <v>1</v>
      </c>
      <c r="O6" s="1">
        <f t="shared" si="7"/>
        <v>1</v>
      </c>
      <c r="P6" s="1" t="s">
        <v>42</v>
      </c>
      <c r="Q6" s="1">
        <f t="shared" si="8"/>
        <v>0</v>
      </c>
      <c r="R6" s="1">
        <f t="shared" si="9"/>
        <v>1</v>
      </c>
      <c r="S6" s="1">
        <f t="shared" si="10"/>
        <v>1</v>
      </c>
      <c r="T6" s="1">
        <f t="shared" si="11"/>
        <v>1</v>
      </c>
      <c r="U6" s="1" t="s">
        <v>42</v>
      </c>
      <c r="V6" s="1">
        <f t="shared" si="12"/>
        <v>0</v>
      </c>
      <c r="W6" s="1">
        <f t="shared" si="13"/>
        <v>1</v>
      </c>
      <c r="X6" s="1">
        <f t="shared" si="14"/>
        <v>0</v>
      </c>
      <c r="Y6" s="1">
        <f t="shared" si="15"/>
        <v>0</v>
      </c>
      <c r="BA6">
        <f t="shared" ref="BA6:BC6" si="24">INT(BB6 /2)</f>
        <v>0</v>
      </c>
      <c r="BB6">
        <f t="shared" si="24"/>
        <v>1</v>
      </c>
      <c r="BC6">
        <f t="shared" si="24"/>
        <v>2</v>
      </c>
      <c r="BD6">
        <f t="shared" si="17"/>
        <v>5</v>
      </c>
      <c r="BF6">
        <f t="shared" ref="BF6:BH6" si="25">INT(BG6 /2)</f>
        <v>10</v>
      </c>
      <c r="BG6">
        <f t="shared" si="25"/>
        <v>20</v>
      </c>
      <c r="BH6">
        <f t="shared" si="25"/>
        <v>41</v>
      </c>
      <c r="BI6">
        <f t="shared" si="19"/>
        <v>83</v>
      </c>
      <c r="BK6">
        <f t="shared" ref="BK6:BM6" si="26">INT(BL6 /2)</f>
        <v>166</v>
      </c>
      <c r="BL6">
        <f t="shared" si="26"/>
        <v>333</v>
      </c>
      <c r="BM6">
        <f t="shared" si="26"/>
        <v>667</v>
      </c>
      <c r="BN6">
        <f t="shared" si="21"/>
        <v>1335</v>
      </c>
      <c r="BP6">
        <f t="shared" ref="BP6:BR6" si="27">INT(BQ6 /2)</f>
        <v>2670</v>
      </c>
      <c r="BQ6">
        <f t="shared" si="27"/>
        <v>5341</v>
      </c>
      <c r="BR6">
        <f t="shared" si="27"/>
        <v>10682</v>
      </c>
      <c r="BS6">
        <f t="shared" si="23"/>
        <v>21364</v>
      </c>
    </row>
    <row r="7" spans="1:71" x14ac:dyDescent="0.3">
      <c r="A7" s="1" t="s">
        <v>5</v>
      </c>
      <c r="B7" s="2" t="s">
        <v>15</v>
      </c>
      <c r="C7">
        <f>$C$1 + $C$2 + $C$2</f>
        <v>36917</v>
      </c>
      <c r="E7" t="s">
        <v>27</v>
      </c>
      <c r="G7" s="1">
        <f t="shared" si="0"/>
        <v>1</v>
      </c>
      <c r="H7" s="1">
        <f t="shared" si="1"/>
        <v>0</v>
      </c>
      <c r="I7" s="1">
        <f t="shared" si="2"/>
        <v>0</v>
      </c>
      <c r="J7" s="1">
        <f t="shared" si="3"/>
        <v>1</v>
      </c>
      <c r="K7" s="1" t="s">
        <v>42</v>
      </c>
      <c r="L7" s="1">
        <f t="shared" si="4"/>
        <v>0</v>
      </c>
      <c r="M7" s="1">
        <f t="shared" si="5"/>
        <v>0</v>
      </c>
      <c r="N7" s="1">
        <f t="shared" si="6"/>
        <v>0</v>
      </c>
      <c r="O7" s="1">
        <f t="shared" si="7"/>
        <v>0</v>
      </c>
      <c r="P7" s="1" t="s">
        <v>42</v>
      </c>
      <c r="Q7" s="1">
        <f t="shared" si="8"/>
        <v>0</v>
      </c>
      <c r="R7" s="1">
        <f t="shared" si="9"/>
        <v>0</v>
      </c>
      <c r="S7" s="1">
        <f t="shared" si="10"/>
        <v>1</v>
      </c>
      <c r="T7" s="1">
        <f t="shared" si="11"/>
        <v>1</v>
      </c>
      <c r="U7" s="1" t="s">
        <v>42</v>
      </c>
      <c r="V7" s="1">
        <f t="shared" si="12"/>
        <v>0</v>
      </c>
      <c r="W7" s="1">
        <f t="shared" si="13"/>
        <v>1</v>
      </c>
      <c r="X7" s="1">
        <f t="shared" si="14"/>
        <v>0</v>
      </c>
      <c r="Y7" s="1">
        <f t="shared" si="15"/>
        <v>1</v>
      </c>
      <c r="BA7">
        <f t="shared" ref="BA7:BC7" si="28">INT(BB7 /2)</f>
        <v>1</v>
      </c>
      <c r="BB7">
        <f t="shared" si="28"/>
        <v>2</v>
      </c>
      <c r="BC7">
        <f t="shared" si="28"/>
        <v>4</v>
      </c>
      <c r="BD7">
        <f t="shared" si="17"/>
        <v>9</v>
      </c>
      <c r="BF7">
        <f t="shared" ref="BF7:BH7" si="29">INT(BG7 /2)</f>
        <v>18</v>
      </c>
      <c r="BG7">
        <f t="shared" si="29"/>
        <v>36</v>
      </c>
      <c r="BH7">
        <f t="shared" si="29"/>
        <v>72</v>
      </c>
      <c r="BI7">
        <f t="shared" si="19"/>
        <v>144</v>
      </c>
      <c r="BK7">
        <f t="shared" ref="BK7:BM7" si="30">INT(BL7 /2)</f>
        <v>288</v>
      </c>
      <c r="BL7">
        <f t="shared" si="30"/>
        <v>576</v>
      </c>
      <c r="BM7">
        <f t="shared" si="30"/>
        <v>1153</v>
      </c>
      <c r="BN7">
        <f t="shared" si="21"/>
        <v>2307</v>
      </c>
      <c r="BP7">
        <f t="shared" ref="BP7:BR7" si="31">INT(BQ7 /2)</f>
        <v>4614</v>
      </c>
      <c r="BQ7">
        <f t="shared" si="31"/>
        <v>9229</v>
      </c>
      <c r="BR7">
        <f t="shared" si="31"/>
        <v>18458</v>
      </c>
      <c r="BS7">
        <f t="shared" si="23"/>
        <v>36917</v>
      </c>
    </row>
    <row r="8" spans="1:71" x14ac:dyDescent="0.3">
      <c r="A8" s="1" t="s">
        <v>6</v>
      </c>
      <c r="B8" s="2" t="s">
        <v>17</v>
      </c>
      <c r="C8">
        <f>$C$5 - $C$4</f>
        <v>9742</v>
      </c>
      <c r="E8" t="s">
        <v>28</v>
      </c>
      <c r="G8" s="1">
        <f t="shared" si="0"/>
        <v>0</v>
      </c>
      <c r="H8" s="1">
        <f t="shared" si="1"/>
        <v>0</v>
      </c>
      <c r="I8" s="1">
        <f t="shared" si="2"/>
        <v>1</v>
      </c>
      <c r="J8" s="1">
        <f t="shared" si="3"/>
        <v>0</v>
      </c>
      <c r="K8" s="1" t="s">
        <v>42</v>
      </c>
      <c r="L8" s="1">
        <f t="shared" si="4"/>
        <v>0</v>
      </c>
      <c r="M8" s="1">
        <f t="shared" si="5"/>
        <v>1</v>
      </c>
      <c r="N8" s="1">
        <f t="shared" si="6"/>
        <v>1</v>
      </c>
      <c r="O8" s="1">
        <f t="shared" si="7"/>
        <v>0</v>
      </c>
      <c r="P8" s="1" t="s">
        <v>42</v>
      </c>
      <c r="Q8" s="1">
        <f t="shared" si="8"/>
        <v>0</v>
      </c>
      <c r="R8" s="1">
        <f t="shared" si="9"/>
        <v>0</v>
      </c>
      <c r="S8" s="1">
        <f t="shared" si="10"/>
        <v>0</v>
      </c>
      <c r="T8" s="1">
        <f t="shared" si="11"/>
        <v>0</v>
      </c>
      <c r="U8" s="1" t="s">
        <v>42</v>
      </c>
      <c r="V8" s="1">
        <f t="shared" si="12"/>
        <v>1</v>
      </c>
      <c r="W8" s="1">
        <f t="shared" si="13"/>
        <v>1</v>
      </c>
      <c r="X8" s="1">
        <f t="shared" si="14"/>
        <v>1</v>
      </c>
      <c r="Y8" s="1">
        <f t="shared" si="15"/>
        <v>0</v>
      </c>
      <c r="BA8">
        <f t="shared" ref="BA8:BC8" si="32">INT(BB8 /2)</f>
        <v>0</v>
      </c>
      <c r="BB8">
        <f t="shared" si="32"/>
        <v>0</v>
      </c>
      <c r="BC8">
        <f t="shared" si="32"/>
        <v>1</v>
      </c>
      <c r="BD8">
        <f t="shared" si="17"/>
        <v>2</v>
      </c>
      <c r="BF8">
        <f t="shared" ref="BF8:BH8" si="33">INT(BG8 /2)</f>
        <v>4</v>
      </c>
      <c r="BG8">
        <f t="shared" si="33"/>
        <v>9</v>
      </c>
      <c r="BH8">
        <f t="shared" si="33"/>
        <v>19</v>
      </c>
      <c r="BI8">
        <f t="shared" si="19"/>
        <v>38</v>
      </c>
      <c r="BK8">
        <f t="shared" ref="BK8:BM8" si="34">INT(BL8 /2)</f>
        <v>76</v>
      </c>
      <c r="BL8">
        <f t="shared" si="34"/>
        <v>152</v>
      </c>
      <c r="BM8">
        <f t="shared" si="34"/>
        <v>304</v>
      </c>
      <c r="BN8">
        <f t="shared" si="21"/>
        <v>608</v>
      </c>
      <c r="BP8">
        <f t="shared" ref="BP8:BR8" si="35">INT(BQ8 /2)</f>
        <v>1217</v>
      </c>
      <c r="BQ8">
        <f t="shared" si="35"/>
        <v>2435</v>
      </c>
      <c r="BR8">
        <f t="shared" si="35"/>
        <v>4871</v>
      </c>
      <c r="BS8">
        <f t="shared" si="23"/>
        <v>9742</v>
      </c>
    </row>
    <row r="9" spans="1:71" x14ac:dyDescent="0.3">
      <c r="A9" s="1" t="s">
        <v>7</v>
      </c>
      <c r="B9" s="2" t="s">
        <v>16</v>
      </c>
      <c r="C9">
        <f>65536 - C7</f>
        <v>28619</v>
      </c>
      <c r="E9" t="s">
        <v>29</v>
      </c>
      <c r="G9" s="1">
        <f t="shared" si="0"/>
        <v>0</v>
      </c>
      <c r="H9" s="1">
        <f t="shared" si="1"/>
        <v>1</v>
      </c>
      <c r="I9" s="1">
        <f t="shared" si="2"/>
        <v>1</v>
      </c>
      <c r="J9" s="1">
        <f t="shared" si="3"/>
        <v>0</v>
      </c>
      <c r="K9" s="1" t="s">
        <v>42</v>
      </c>
      <c r="L9" s="1">
        <f t="shared" si="4"/>
        <v>1</v>
      </c>
      <c r="M9" s="1">
        <f t="shared" si="5"/>
        <v>1</v>
      </c>
      <c r="N9" s="1">
        <f t="shared" si="6"/>
        <v>1</v>
      </c>
      <c r="O9" s="1">
        <f t="shared" si="7"/>
        <v>1</v>
      </c>
      <c r="P9" s="1" t="s">
        <v>42</v>
      </c>
      <c r="Q9" s="1">
        <f t="shared" si="8"/>
        <v>1</v>
      </c>
      <c r="R9" s="1">
        <f t="shared" si="9"/>
        <v>1</v>
      </c>
      <c r="S9" s="1">
        <f t="shared" si="10"/>
        <v>0</v>
      </c>
      <c r="T9" s="1">
        <f t="shared" si="11"/>
        <v>0</v>
      </c>
      <c r="U9" s="1" t="s">
        <v>42</v>
      </c>
      <c r="V9" s="1">
        <f t="shared" si="12"/>
        <v>1</v>
      </c>
      <c r="W9" s="1">
        <f t="shared" si="13"/>
        <v>0</v>
      </c>
      <c r="X9" s="1">
        <f t="shared" si="14"/>
        <v>1</v>
      </c>
      <c r="Y9" s="1">
        <f t="shared" si="15"/>
        <v>1</v>
      </c>
      <c r="BA9">
        <f t="shared" ref="BA9:BC9" si="36">INT(BB9 /2)</f>
        <v>0</v>
      </c>
      <c r="BB9">
        <f t="shared" si="36"/>
        <v>1</v>
      </c>
      <c r="BC9">
        <f t="shared" si="36"/>
        <v>3</v>
      </c>
      <c r="BD9">
        <f t="shared" si="17"/>
        <v>6</v>
      </c>
      <c r="BF9">
        <f t="shared" ref="BF9:BH9" si="37">INT(BG9 /2)</f>
        <v>13</v>
      </c>
      <c r="BG9">
        <f t="shared" si="37"/>
        <v>27</v>
      </c>
      <c r="BH9">
        <f t="shared" si="37"/>
        <v>55</v>
      </c>
      <c r="BI9">
        <f t="shared" si="19"/>
        <v>111</v>
      </c>
      <c r="BK9">
        <f t="shared" ref="BK9:BM9" si="38">INT(BL9 /2)</f>
        <v>223</v>
      </c>
      <c r="BL9">
        <f t="shared" si="38"/>
        <v>447</v>
      </c>
      <c r="BM9">
        <f t="shared" si="38"/>
        <v>894</v>
      </c>
      <c r="BN9">
        <f t="shared" si="21"/>
        <v>1788</v>
      </c>
      <c r="BP9">
        <f t="shared" ref="BP9:BR9" si="39">INT(BQ9 /2)</f>
        <v>3577</v>
      </c>
      <c r="BQ9">
        <f t="shared" si="39"/>
        <v>7154</v>
      </c>
      <c r="BR9">
        <f t="shared" si="39"/>
        <v>14309</v>
      </c>
      <c r="BS9">
        <f t="shared" si="23"/>
        <v>28619</v>
      </c>
    </row>
    <row r="10" spans="1:71" x14ac:dyDescent="0.3">
      <c r="A10" s="1" t="s">
        <v>8</v>
      </c>
      <c r="B10" s="2" t="s">
        <v>18</v>
      </c>
      <c r="C10">
        <f>-C4</f>
        <v>-5811</v>
      </c>
      <c r="E10" t="s">
        <v>30</v>
      </c>
      <c r="F10" t="s">
        <v>36</v>
      </c>
      <c r="G10" s="1">
        <f t="shared" si="0"/>
        <v>1</v>
      </c>
      <c r="H10" s="1">
        <f t="shared" si="1"/>
        <v>1</v>
      </c>
      <c r="I10" s="1">
        <f t="shared" si="2"/>
        <v>1</v>
      </c>
      <c r="J10" s="1">
        <f t="shared" si="3"/>
        <v>0</v>
      </c>
      <c r="K10" s="1" t="s">
        <v>42</v>
      </c>
      <c r="L10" s="1">
        <f t="shared" si="4"/>
        <v>1</v>
      </c>
      <c r="M10" s="1">
        <f t="shared" si="5"/>
        <v>0</v>
      </c>
      <c r="N10" s="1">
        <f t="shared" si="6"/>
        <v>0</v>
      </c>
      <c r="O10" s="1">
        <f t="shared" si="7"/>
        <v>1</v>
      </c>
      <c r="P10" s="1" t="s">
        <v>42</v>
      </c>
      <c r="Q10" s="1">
        <f t="shared" si="8"/>
        <v>0</v>
      </c>
      <c r="R10" s="1">
        <f t="shared" si="9"/>
        <v>1</v>
      </c>
      <c r="S10" s="1">
        <f t="shared" si="10"/>
        <v>0</v>
      </c>
      <c r="T10" s="1">
        <f t="shared" si="11"/>
        <v>0</v>
      </c>
      <c r="U10" s="1" t="s">
        <v>42</v>
      </c>
      <c r="V10" s="1">
        <f t="shared" si="12"/>
        <v>1</v>
      </c>
      <c r="W10" s="1">
        <f t="shared" si="13"/>
        <v>1</v>
      </c>
      <c r="X10" s="1">
        <f t="shared" si="14"/>
        <v>0</v>
      </c>
      <c r="Y10" s="1">
        <f t="shared" si="15"/>
        <v>1</v>
      </c>
      <c r="BA10">
        <f t="shared" ref="BA10:BC10" si="40">INT(BB10 /2)</f>
        <v>1</v>
      </c>
      <c r="BB10">
        <f t="shared" si="40"/>
        <v>3</v>
      </c>
      <c r="BC10">
        <f t="shared" si="40"/>
        <v>7</v>
      </c>
      <c r="BD10">
        <f t="shared" si="17"/>
        <v>14</v>
      </c>
      <c r="BF10">
        <f t="shared" ref="BF10:BH10" si="41">INT(BG10 /2)</f>
        <v>29</v>
      </c>
      <c r="BG10">
        <f t="shared" si="41"/>
        <v>58</v>
      </c>
      <c r="BH10">
        <f t="shared" si="41"/>
        <v>116</v>
      </c>
      <c r="BI10">
        <f t="shared" si="19"/>
        <v>233</v>
      </c>
      <c r="BK10">
        <f t="shared" ref="BK10:BM10" si="42">INT(BL10 /2)</f>
        <v>466</v>
      </c>
      <c r="BL10">
        <f t="shared" si="42"/>
        <v>933</v>
      </c>
      <c r="BM10">
        <f t="shared" si="42"/>
        <v>1866</v>
      </c>
      <c r="BN10">
        <f t="shared" si="21"/>
        <v>3732</v>
      </c>
      <c r="BP10">
        <f t="shared" ref="BP10:BR10" si="43">INT(BQ10 /2)</f>
        <v>7465</v>
      </c>
      <c r="BQ10">
        <f t="shared" si="43"/>
        <v>14931</v>
      </c>
      <c r="BR10">
        <f t="shared" si="43"/>
        <v>29862</v>
      </c>
      <c r="BS10">
        <f t="shared" si="23"/>
        <v>59725</v>
      </c>
    </row>
    <row r="11" spans="1:71" x14ac:dyDescent="0.3">
      <c r="A11" s="1" t="s">
        <v>9</v>
      </c>
      <c r="B11" s="2" t="s">
        <v>23</v>
      </c>
      <c r="C11">
        <f t="shared" ref="C11:C15" si="44">-C5</f>
        <v>-15553</v>
      </c>
      <c r="E11" t="s">
        <v>31</v>
      </c>
      <c r="F11" t="s">
        <v>37</v>
      </c>
      <c r="G11" s="1">
        <f t="shared" si="0"/>
        <v>1</v>
      </c>
      <c r="H11" s="1">
        <f t="shared" si="1"/>
        <v>1</v>
      </c>
      <c r="I11" s="1">
        <f t="shared" si="2"/>
        <v>0</v>
      </c>
      <c r="J11" s="1">
        <f t="shared" si="3"/>
        <v>0</v>
      </c>
      <c r="K11" s="1" t="s">
        <v>42</v>
      </c>
      <c r="L11" s="1">
        <f t="shared" si="4"/>
        <v>0</v>
      </c>
      <c r="M11" s="1">
        <f t="shared" si="5"/>
        <v>0</v>
      </c>
      <c r="N11" s="1">
        <f t="shared" si="6"/>
        <v>1</v>
      </c>
      <c r="O11" s="1">
        <f t="shared" si="7"/>
        <v>1</v>
      </c>
      <c r="P11" s="1" t="s">
        <v>42</v>
      </c>
      <c r="Q11" s="1">
        <f t="shared" si="8"/>
        <v>0</v>
      </c>
      <c r="R11" s="1">
        <f t="shared" si="9"/>
        <v>0</v>
      </c>
      <c r="S11" s="1">
        <f t="shared" si="10"/>
        <v>1</v>
      </c>
      <c r="T11" s="1">
        <f t="shared" si="11"/>
        <v>1</v>
      </c>
      <c r="U11" s="1" t="s">
        <v>42</v>
      </c>
      <c r="V11" s="1">
        <f t="shared" si="12"/>
        <v>1</v>
      </c>
      <c r="W11" s="1">
        <f t="shared" si="13"/>
        <v>1</v>
      </c>
      <c r="X11" s="1">
        <f t="shared" si="14"/>
        <v>1</v>
      </c>
      <c r="Y11" s="1">
        <f t="shared" si="15"/>
        <v>1</v>
      </c>
      <c r="BA11">
        <f t="shared" ref="BA11:BC11" si="45">INT(BB11 /2)</f>
        <v>1</v>
      </c>
      <c r="BB11">
        <f t="shared" si="45"/>
        <v>3</v>
      </c>
      <c r="BC11">
        <f t="shared" si="45"/>
        <v>6</v>
      </c>
      <c r="BD11">
        <f t="shared" si="17"/>
        <v>12</v>
      </c>
      <c r="BF11">
        <f t="shared" ref="BF11:BH11" si="46">INT(BG11 /2)</f>
        <v>24</v>
      </c>
      <c r="BG11">
        <f t="shared" si="46"/>
        <v>48</v>
      </c>
      <c r="BH11">
        <f t="shared" si="46"/>
        <v>97</v>
      </c>
      <c r="BI11">
        <f t="shared" si="19"/>
        <v>195</v>
      </c>
      <c r="BK11">
        <f t="shared" ref="BK11:BM11" si="47">INT(BL11 /2)</f>
        <v>390</v>
      </c>
      <c r="BL11">
        <f t="shared" si="47"/>
        <v>780</v>
      </c>
      <c r="BM11">
        <f t="shared" si="47"/>
        <v>1561</v>
      </c>
      <c r="BN11">
        <f t="shared" si="21"/>
        <v>3123</v>
      </c>
      <c r="BP11">
        <f t="shared" ref="BP11:BR11" si="48">INT(BQ11 /2)</f>
        <v>6247</v>
      </c>
      <c r="BQ11">
        <f t="shared" si="48"/>
        <v>12495</v>
      </c>
      <c r="BR11">
        <f t="shared" si="48"/>
        <v>24991</v>
      </c>
      <c r="BS11">
        <f t="shared" si="23"/>
        <v>49983</v>
      </c>
    </row>
    <row r="12" spans="1:71" x14ac:dyDescent="0.3">
      <c r="A12" s="1" t="s">
        <v>10</v>
      </c>
      <c r="B12" s="2" t="s">
        <v>19</v>
      </c>
      <c r="C12">
        <f t="shared" si="44"/>
        <v>-21364</v>
      </c>
      <c r="E12" t="s">
        <v>32</v>
      </c>
      <c r="F12" t="s">
        <v>38</v>
      </c>
      <c r="G12" s="1">
        <f t="shared" si="0"/>
        <v>1</v>
      </c>
      <c r="H12" s="1">
        <f t="shared" si="1"/>
        <v>0</v>
      </c>
      <c r="I12" s="1">
        <f t="shared" si="2"/>
        <v>1</v>
      </c>
      <c r="J12" s="1">
        <f t="shared" si="3"/>
        <v>0</v>
      </c>
      <c r="K12" s="1" t="s">
        <v>42</v>
      </c>
      <c r="L12" s="1">
        <f t="shared" si="4"/>
        <v>1</v>
      </c>
      <c r="M12" s="1">
        <f t="shared" si="5"/>
        <v>1</v>
      </c>
      <c r="N12" s="1">
        <f t="shared" si="6"/>
        <v>0</v>
      </c>
      <c r="O12" s="1">
        <f t="shared" si="7"/>
        <v>0</v>
      </c>
      <c r="P12" s="1" t="s">
        <v>42</v>
      </c>
      <c r="Q12" s="1">
        <f t="shared" si="8"/>
        <v>1</v>
      </c>
      <c r="R12" s="1">
        <f t="shared" si="9"/>
        <v>0</v>
      </c>
      <c r="S12" s="1">
        <f t="shared" si="10"/>
        <v>0</v>
      </c>
      <c r="T12" s="1">
        <f t="shared" si="11"/>
        <v>0</v>
      </c>
      <c r="U12" s="1" t="s">
        <v>42</v>
      </c>
      <c r="V12" s="1">
        <f t="shared" si="12"/>
        <v>1</v>
      </c>
      <c r="W12" s="1">
        <f t="shared" si="13"/>
        <v>1</v>
      </c>
      <c r="X12" s="1">
        <f t="shared" si="14"/>
        <v>0</v>
      </c>
      <c r="Y12" s="1">
        <f t="shared" si="15"/>
        <v>0</v>
      </c>
      <c r="BA12">
        <f t="shared" ref="BA12:BC12" si="49">INT(BB12 /2)</f>
        <v>1</v>
      </c>
      <c r="BB12">
        <f t="shared" si="49"/>
        <v>2</v>
      </c>
      <c r="BC12">
        <f t="shared" si="49"/>
        <v>5</v>
      </c>
      <c r="BD12">
        <f t="shared" si="17"/>
        <v>10</v>
      </c>
      <c r="BF12">
        <f t="shared" ref="BF12:BH12" si="50">INT(BG12 /2)</f>
        <v>21</v>
      </c>
      <c r="BG12">
        <f t="shared" si="50"/>
        <v>43</v>
      </c>
      <c r="BH12">
        <f t="shared" si="50"/>
        <v>86</v>
      </c>
      <c r="BI12">
        <f t="shared" si="19"/>
        <v>172</v>
      </c>
      <c r="BK12">
        <f t="shared" ref="BK12:BM12" si="51">INT(BL12 /2)</f>
        <v>345</v>
      </c>
      <c r="BL12">
        <f t="shared" si="51"/>
        <v>690</v>
      </c>
      <c r="BM12">
        <f t="shared" si="51"/>
        <v>1380</v>
      </c>
      <c r="BN12">
        <f t="shared" si="21"/>
        <v>2760</v>
      </c>
      <c r="BP12">
        <f t="shared" ref="BP12:BR12" si="52">INT(BQ12 /2)</f>
        <v>5521</v>
      </c>
      <c r="BQ12">
        <f t="shared" si="52"/>
        <v>11043</v>
      </c>
      <c r="BR12">
        <f t="shared" si="52"/>
        <v>22086</v>
      </c>
      <c r="BS12">
        <f t="shared" si="23"/>
        <v>44172</v>
      </c>
    </row>
    <row r="13" spans="1:71" x14ac:dyDescent="0.3">
      <c r="A13" s="1" t="s">
        <v>11</v>
      </c>
      <c r="B13" s="2" t="s">
        <v>20</v>
      </c>
      <c r="C13">
        <f t="shared" si="44"/>
        <v>-36917</v>
      </c>
      <c r="E13" t="s">
        <v>33</v>
      </c>
      <c r="F13" t="s">
        <v>39</v>
      </c>
      <c r="G13" s="1">
        <f t="shared" si="0"/>
        <v>0</v>
      </c>
      <c r="H13" s="1">
        <f t="shared" si="1"/>
        <v>1</v>
      </c>
      <c r="I13" s="1">
        <f t="shared" si="2"/>
        <v>1</v>
      </c>
      <c r="J13" s="1">
        <f t="shared" si="3"/>
        <v>0</v>
      </c>
      <c r="K13" s="1" t="s">
        <v>42</v>
      </c>
      <c r="L13" s="1">
        <f t="shared" si="4"/>
        <v>1</v>
      </c>
      <c r="M13" s="1">
        <f t="shared" si="5"/>
        <v>1</v>
      </c>
      <c r="N13" s="1">
        <f t="shared" si="6"/>
        <v>1</v>
      </c>
      <c r="O13" s="1">
        <f t="shared" si="7"/>
        <v>1</v>
      </c>
      <c r="P13" s="1" t="s">
        <v>42</v>
      </c>
      <c r="Q13" s="1">
        <f t="shared" si="8"/>
        <v>1</v>
      </c>
      <c r="R13" s="1">
        <f t="shared" si="9"/>
        <v>1</v>
      </c>
      <c r="S13" s="1">
        <f t="shared" si="10"/>
        <v>0</v>
      </c>
      <c r="T13" s="1">
        <f t="shared" si="11"/>
        <v>0</v>
      </c>
      <c r="U13" s="1" t="s">
        <v>42</v>
      </c>
      <c r="V13" s="1">
        <f t="shared" si="12"/>
        <v>1</v>
      </c>
      <c r="W13" s="1">
        <f t="shared" si="13"/>
        <v>0</v>
      </c>
      <c r="X13" s="1">
        <f t="shared" si="14"/>
        <v>1</v>
      </c>
      <c r="Y13" s="1">
        <f t="shared" si="15"/>
        <v>1</v>
      </c>
      <c r="BA13">
        <f t="shared" ref="BA13:BC13" si="53">INT(BB13 /2)</f>
        <v>0</v>
      </c>
      <c r="BB13">
        <f t="shared" si="53"/>
        <v>1</v>
      </c>
      <c r="BC13">
        <f t="shared" si="53"/>
        <v>3</v>
      </c>
      <c r="BD13">
        <f t="shared" si="17"/>
        <v>6</v>
      </c>
      <c r="BF13">
        <f t="shared" ref="BF13:BH13" si="54">INT(BG13 /2)</f>
        <v>13</v>
      </c>
      <c r="BG13">
        <f t="shared" si="54"/>
        <v>27</v>
      </c>
      <c r="BH13">
        <f t="shared" si="54"/>
        <v>55</v>
      </c>
      <c r="BI13">
        <f t="shared" si="19"/>
        <v>111</v>
      </c>
      <c r="BK13">
        <f t="shared" ref="BK13:BM13" si="55">INT(BL13 /2)</f>
        <v>223</v>
      </c>
      <c r="BL13">
        <f t="shared" si="55"/>
        <v>447</v>
      </c>
      <c r="BM13">
        <f t="shared" si="55"/>
        <v>894</v>
      </c>
      <c r="BN13">
        <f t="shared" si="21"/>
        <v>1788</v>
      </c>
      <c r="BP13">
        <f t="shared" ref="BP13:BR13" si="56">INT(BQ13 /2)</f>
        <v>3577</v>
      </c>
      <c r="BQ13">
        <f t="shared" si="56"/>
        <v>7154</v>
      </c>
      <c r="BR13">
        <f t="shared" si="56"/>
        <v>14309</v>
      </c>
      <c r="BS13">
        <f t="shared" si="23"/>
        <v>28619</v>
      </c>
    </row>
    <row r="14" spans="1:71" x14ac:dyDescent="0.3">
      <c r="A14" s="1" t="s">
        <v>12</v>
      </c>
      <c r="B14" s="2" t="s">
        <v>21</v>
      </c>
      <c r="C14">
        <f t="shared" si="44"/>
        <v>-9742</v>
      </c>
      <c r="E14" t="s">
        <v>34</v>
      </c>
      <c r="F14" t="s">
        <v>40</v>
      </c>
      <c r="G14" s="1">
        <f t="shared" si="0"/>
        <v>1</v>
      </c>
      <c r="H14" s="1">
        <f t="shared" si="1"/>
        <v>1</v>
      </c>
      <c r="I14" s="1">
        <f t="shared" si="2"/>
        <v>0</v>
      </c>
      <c r="J14" s="1">
        <f t="shared" si="3"/>
        <v>1</v>
      </c>
      <c r="K14" s="1" t="s">
        <v>42</v>
      </c>
      <c r="L14" s="1">
        <f t="shared" si="4"/>
        <v>1</v>
      </c>
      <c r="M14" s="1">
        <f t="shared" si="5"/>
        <v>0</v>
      </c>
      <c r="N14" s="1">
        <f t="shared" si="6"/>
        <v>0</v>
      </c>
      <c r="O14" s="1">
        <f t="shared" si="7"/>
        <v>1</v>
      </c>
      <c r="P14" s="1" t="s">
        <v>42</v>
      </c>
      <c r="Q14" s="1">
        <f t="shared" si="8"/>
        <v>1</v>
      </c>
      <c r="R14" s="1">
        <f t="shared" si="9"/>
        <v>1</v>
      </c>
      <c r="S14" s="1">
        <f t="shared" si="10"/>
        <v>1</v>
      </c>
      <c r="T14" s="1">
        <f t="shared" si="11"/>
        <v>1</v>
      </c>
      <c r="U14" s="1" t="s">
        <v>42</v>
      </c>
      <c r="V14" s="1">
        <f t="shared" si="12"/>
        <v>0</v>
      </c>
      <c r="W14" s="1">
        <f t="shared" si="13"/>
        <v>0</v>
      </c>
      <c r="X14" s="1">
        <f t="shared" si="14"/>
        <v>1</v>
      </c>
      <c r="Y14" s="1">
        <f t="shared" si="15"/>
        <v>0</v>
      </c>
      <c r="BA14">
        <f t="shared" ref="BA14:BC14" si="57">INT(BB14 /2)</f>
        <v>1</v>
      </c>
      <c r="BB14">
        <f t="shared" si="57"/>
        <v>3</v>
      </c>
      <c r="BC14">
        <f t="shared" si="57"/>
        <v>6</v>
      </c>
      <c r="BD14">
        <f t="shared" si="17"/>
        <v>13</v>
      </c>
      <c r="BF14">
        <f t="shared" ref="BF14:BH14" si="58">INT(BG14 /2)</f>
        <v>27</v>
      </c>
      <c r="BG14">
        <f t="shared" si="58"/>
        <v>54</v>
      </c>
      <c r="BH14">
        <f t="shared" si="58"/>
        <v>108</v>
      </c>
      <c r="BI14">
        <f t="shared" si="19"/>
        <v>217</v>
      </c>
      <c r="BK14">
        <f t="shared" ref="BK14:BM14" si="59">INT(BL14 /2)</f>
        <v>435</v>
      </c>
      <c r="BL14">
        <f t="shared" si="59"/>
        <v>871</v>
      </c>
      <c r="BM14">
        <f t="shared" si="59"/>
        <v>1743</v>
      </c>
      <c r="BN14">
        <f t="shared" si="21"/>
        <v>3487</v>
      </c>
      <c r="BP14">
        <f t="shared" ref="BP14:BR14" si="60">INT(BQ14 /2)</f>
        <v>6974</v>
      </c>
      <c r="BQ14">
        <f t="shared" si="60"/>
        <v>13948</v>
      </c>
      <c r="BR14">
        <f t="shared" si="60"/>
        <v>27897</v>
      </c>
      <c r="BS14">
        <f t="shared" si="23"/>
        <v>55794</v>
      </c>
    </row>
    <row r="15" spans="1:71" x14ac:dyDescent="0.3">
      <c r="A15" s="1" t="s">
        <v>13</v>
      </c>
      <c r="B15" s="2" t="s">
        <v>22</v>
      </c>
      <c r="C15">
        <f t="shared" si="44"/>
        <v>-28619</v>
      </c>
      <c r="E15" t="s">
        <v>35</v>
      </c>
      <c r="F15" t="s">
        <v>41</v>
      </c>
      <c r="G15" s="1">
        <f t="shared" si="0"/>
        <v>1</v>
      </c>
      <c r="H15" s="1">
        <f t="shared" si="1"/>
        <v>0</v>
      </c>
      <c r="I15" s="1">
        <f t="shared" si="2"/>
        <v>0</v>
      </c>
      <c r="J15" s="1">
        <f t="shared" si="3"/>
        <v>1</v>
      </c>
      <c r="K15" s="1" t="s">
        <v>42</v>
      </c>
      <c r="L15" s="1">
        <f t="shared" si="4"/>
        <v>0</v>
      </c>
      <c r="M15" s="1">
        <f t="shared" si="5"/>
        <v>0</v>
      </c>
      <c r="N15" s="1">
        <f t="shared" si="6"/>
        <v>0</v>
      </c>
      <c r="O15" s="1">
        <f t="shared" si="7"/>
        <v>0</v>
      </c>
      <c r="P15" s="1" t="s">
        <v>42</v>
      </c>
      <c r="Q15" s="1">
        <f t="shared" si="8"/>
        <v>0</v>
      </c>
      <c r="R15" s="1">
        <f t="shared" si="9"/>
        <v>0</v>
      </c>
      <c r="S15" s="1">
        <f t="shared" si="10"/>
        <v>1</v>
      </c>
      <c r="T15" s="1">
        <f t="shared" si="11"/>
        <v>1</v>
      </c>
      <c r="U15" s="1" t="s">
        <v>42</v>
      </c>
      <c r="V15" s="1">
        <f t="shared" si="12"/>
        <v>0</v>
      </c>
      <c r="W15" s="1">
        <f t="shared" si="13"/>
        <v>1</v>
      </c>
      <c r="X15" s="1">
        <f t="shared" si="14"/>
        <v>0</v>
      </c>
      <c r="Y15" s="1">
        <f t="shared" si="15"/>
        <v>1</v>
      </c>
      <c r="BA15">
        <f t="shared" ref="BA15:BC15" si="61">INT(BB15 /2)</f>
        <v>1</v>
      </c>
      <c r="BB15">
        <f t="shared" si="61"/>
        <v>2</v>
      </c>
      <c r="BC15">
        <f t="shared" si="61"/>
        <v>4</v>
      </c>
      <c r="BD15">
        <f t="shared" si="17"/>
        <v>9</v>
      </c>
      <c r="BF15">
        <f t="shared" ref="BF15:BH15" si="62">INT(BG15 /2)</f>
        <v>18</v>
      </c>
      <c r="BG15">
        <f t="shared" si="62"/>
        <v>36</v>
      </c>
      <c r="BH15">
        <f t="shared" si="62"/>
        <v>72</v>
      </c>
      <c r="BI15">
        <f t="shared" si="19"/>
        <v>144</v>
      </c>
      <c r="BK15">
        <f t="shared" ref="BK15:BM15" si="63">INT(BL15 /2)</f>
        <v>288</v>
      </c>
      <c r="BL15">
        <f t="shared" si="63"/>
        <v>576</v>
      </c>
      <c r="BM15">
        <f t="shared" si="63"/>
        <v>1153</v>
      </c>
      <c r="BN15">
        <f t="shared" si="21"/>
        <v>2307</v>
      </c>
      <c r="BP15">
        <f t="shared" ref="BP15:BR15" si="64">INT(BQ15 /2)</f>
        <v>4614</v>
      </c>
      <c r="BQ15">
        <f t="shared" si="64"/>
        <v>9229</v>
      </c>
      <c r="BR15">
        <f t="shared" si="64"/>
        <v>18458</v>
      </c>
      <c r="BS15">
        <f t="shared" si="23"/>
        <v>36917</v>
      </c>
    </row>
    <row r="17" spans="1:34" ht="15.6" x14ac:dyDescent="0.35">
      <c r="A17" s="10" t="s">
        <v>69</v>
      </c>
      <c r="B17" s="10"/>
      <c r="C17" s="10"/>
      <c r="E17" t="s">
        <v>50</v>
      </c>
      <c r="G17" s="1">
        <f>G4</f>
        <v>0</v>
      </c>
      <c r="H17" s="1">
        <f t="shared" ref="H17:Y18" si="65">H4</f>
        <v>0</v>
      </c>
      <c r="I17" s="1">
        <f t="shared" si="65"/>
        <v>0</v>
      </c>
      <c r="J17" s="1">
        <f t="shared" si="65"/>
        <v>1</v>
      </c>
      <c r="K17" s="1" t="str">
        <f t="shared" si="65"/>
        <v>.</v>
      </c>
      <c r="L17" s="1">
        <f t="shared" si="65"/>
        <v>0</v>
      </c>
      <c r="M17" s="1">
        <f t="shared" si="65"/>
        <v>1</v>
      </c>
      <c r="N17" s="1">
        <f t="shared" si="65"/>
        <v>1</v>
      </c>
      <c r="O17" s="1">
        <f t="shared" si="65"/>
        <v>0</v>
      </c>
      <c r="P17" s="1" t="str">
        <f t="shared" si="65"/>
        <v>.</v>
      </c>
      <c r="Q17" s="1">
        <f t="shared" si="65"/>
        <v>1</v>
      </c>
      <c r="R17" s="1">
        <f t="shared" si="65"/>
        <v>0</v>
      </c>
      <c r="S17" s="1">
        <f t="shared" si="65"/>
        <v>1</v>
      </c>
      <c r="T17" s="1">
        <f t="shared" si="65"/>
        <v>1</v>
      </c>
      <c r="U17" s="1" t="str">
        <f t="shared" si="65"/>
        <v>.</v>
      </c>
      <c r="V17" s="1">
        <f t="shared" si="65"/>
        <v>0</v>
      </c>
      <c r="W17" s="1">
        <f t="shared" si="65"/>
        <v>0</v>
      </c>
      <c r="X17" s="1">
        <f t="shared" si="65"/>
        <v>1</v>
      </c>
      <c r="Y17" s="1">
        <f t="shared" si="65"/>
        <v>1</v>
      </c>
      <c r="AE17" t="s">
        <v>48</v>
      </c>
      <c r="AG17">
        <f>C4</f>
        <v>5811</v>
      </c>
    </row>
    <row r="18" spans="1:34" ht="15.6" x14ac:dyDescent="0.35">
      <c r="A18" s="10"/>
      <c r="B18" s="10"/>
      <c r="C18" s="10"/>
      <c r="D18" t="s">
        <v>43</v>
      </c>
      <c r="E18" t="s">
        <v>51</v>
      </c>
      <c r="G18" s="1">
        <f>G5</f>
        <v>0</v>
      </c>
      <c r="H18" s="1">
        <f t="shared" si="65"/>
        <v>0</v>
      </c>
      <c r="I18" s="1">
        <f t="shared" si="65"/>
        <v>1</v>
      </c>
      <c r="J18" s="1">
        <f t="shared" si="65"/>
        <v>1</v>
      </c>
      <c r="K18" s="1" t="str">
        <f t="shared" si="65"/>
        <v>.</v>
      </c>
      <c r="L18" s="1">
        <f t="shared" si="65"/>
        <v>1</v>
      </c>
      <c r="M18" s="1">
        <f t="shared" si="65"/>
        <v>1</v>
      </c>
      <c r="N18" s="1">
        <f t="shared" si="65"/>
        <v>0</v>
      </c>
      <c r="O18" s="1">
        <f t="shared" si="65"/>
        <v>0</v>
      </c>
      <c r="P18" s="1" t="str">
        <f t="shared" si="65"/>
        <v>.</v>
      </c>
      <c r="Q18" s="1">
        <f t="shared" si="65"/>
        <v>1</v>
      </c>
      <c r="R18" s="1">
        <f t="shared" si="65"/>
        <v>1</v>
      </c>
      <c r="S18" s="1">
        <f t="shared" si="65"/>
        <v>0</v>
      </c>
      <c r="T18" s="1">
        <f t="shared" si="65"/>
        <v>0</v>
      </c>
      <c r="U18" s="1" t="str">
        <f t="shared" si="65"/>
        <v>.</v>
      </c>
      <c r="V18" s="1">
        <f t="shared" si="65"/>
        <v>0</v>
      </c>
      <c r="W18" s="1">
        <f t="shared" si="65"/>
        <v>0</v>
      </c>
      <c r="X18" s="1">
        <f t="shared" si="65"/>
        <v>0</v>
      </c>
      <c r="Y18" s="1">
        <f t="shared" si="65"/>
        <v>1</v>
      </c>
      <c r="AD18" t="s">
        <v>43</v>
      </c>
      <c r="AE18" t="s">
        <v>49</v>
      </c>
      <c r="AG18">
        <f>C5</f>
        <v>15553</v>
      </c>
    </row>
    <row r="19" spans="1:34" x14ac:dyDescent="0.3">
      <c r="A19" s="10"/>
      <c r="B19" s="10"/>
      <c r="C19" s="10"/>
      <c r="E19" s="7" t="s">
        <v>44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AC19" s="1" t="s">
        <v>45</v>
      </c>
      <c r="AD19" s="8" t="s">
        <v>52</v>
      </c>
      <c r="AE19" s="8"/>
      <c r="AF19" s="8"/>
      <c r="AG19" s="8"/>
    </row>
    <row r="20" spans="1:34" ht="15.6" x14ac:dyDescent="0.35">
      <c r="F20" s="1"/>
      <c r="G20" s="1">
        <f t="shared" ref="G20:H20" si="66">MOD(SUM(G17:G18, IF(AND(NOT(SUM(H17:H18) = 0),NOT(SUM(H17:H18) = H20)),1,0)),2)</f>
        <v>0</v>
      </c>
      <c r="H20" s="1">
        <f t="shared" si="66"/>
        <v>1</v>
      </c>
      <c r="I20" s="1">
        <f>MOD(SUM(I17:I18, IF(AND(NOT(SUM(J17:J18) = 0),NOT(SUM(J17:J18) = J20)),1,0)),2)</f>
        <v>0</v>
      </c>
      <c r="J20" s="1">
        <f>MOD(SUM(J17:J18, IF(AND(NOT(SUM(L17:L18) = 0),NOT(SUM(L17:L18) = L20)),1,0)),2)</f>
        <v>1</v>
      </c>
      <c r="K20" s="1" t="s">
        <v>42</v>
      </c>
      <c r="L20" s="1">
        <f t="shared" ref="L20:M20" si="67">MOD(SUM(L17:L18, IF(AND(NOT(SUM(M17:M18) = 0),NOT(SUM(M17:M18) = M20)),1,0)),2)</f>
        <v>0</v>
      </c>
      <c r="M20" s="1">
        <f t="shared" si="67"/>
        <v>0</v>
      </c>
      <c r="N20" s="1">
        <f>MOD(SUM(N17:N18, IF(AND(NOT(SUM(O17:O18) = 0),NOT(SUM(O17:O18) = O20)),1,0)),2)</f>
        <v>1</v>
      </c>
      <c r="O20" s="1">
        <f>MOD(SUM(O17:O18, IF(AND(NOT(SUM(Q17:Q18) = 0),NOT(SUM(Q17:Q18) = Q20)),1,0)),2)</f>
        <v>1</v>
      </c>
      <c r="P20" s="1" t="s">
        <v>42</v>
      </c>
      <c r="Q20" s="1">
        <f t="shared" ref="Q20:R20" si="68">MOD(SUM(Q17:Q18, IF(AND(NOT(SUM(R17:R18) = 0),NOT(SUM(R17:R18) = R20)),1,0)),2)</f>
        <v>0</v>
      </c>
      <c r="R20" s="1">
        <f t="shared" si="68"/>
        <v>1</v>
      </c>
      <c r="S20" s="1">
        <f>MOD(SUM(S17:S18, IF(AND(NOT(SUM(T17:T18) = 0),NOT(SUM(T17:T18) = T20)),1,0)),2)</f>
        <v>1</v>
      </c>
      <c r="T20" s="1">
        <f>MOD(SUM(T17:T18, IF(AND(NOT(SUM(V17:V18) = 0),NOT(SUM(V17:V18) = V20)),1,0)),2)</f>
        <v>1</v>
      </c>
      <c r="U20" s="1" t="s">
        <v>42</v>
      </c>
      <c r="V20" s="1">
        <f>MOD(SUM(V17:V18, IF(AND(NOT(SUM(W17:W18) = 0),NOT(SUM(W17:W18) = W20)),1,0)),2)</f>
        <v>0</v>
      </c>
      <c r="W20" s="1">
        <f>MOD(SUM(W17:W18, IF(AND(NOT(SUM(X17:X18) = 0),NOT(SUM(X17:X18) = X20)),1,0)),2)</f>
        <v>1</v>
      </c>
      <c r="X20" s="1">
        <f>MOD(SUM(X17:X18, IF(AND(NOT(SUM(Y17:Y18) = 0),NOT(SUM(Y17:Y18) = Y20)),1,0)),2)</f>
        <v>0</v>
      </c>
      <c r="Y20" s="1">
        <f>MOD(SUM(Y17:Y18, IF(AND(NOT(SUM(Z17:Z18) = 0),NOT(SUM(Z17:Z18) = Z20)),1,0)),2)</f>
        <v>0</v>
      </c>
      <c r="Z20" s="3" t="s">
        <v>46</v>
      </c>
      <c r="AA20" s="1">
        <f>SUM(Y20 *1,X20 *2,W20 *4,V20 * 8, T20 *16, S20 * 32,R20 * 64,Q20 * 128, O20 * 256, N20 * 512, M20 * 1024,L20 * 2048, J20 * 4096, I20 * 8192, H20 * 8192 * 2, G20 * 8192 *4) + IF(AB22 = 0, 0, -65536)</f>
        <v>21364</v>
      </c>
      <c r="AB20" s="4" t="s">
        <v>47</v>
      </c>
      <c r="AG20">
        <f>SUM(AG17:AG18)</f>
        <v>21364</v>
      </c>
      <c r="AH20" s="4" t="s">
        <v>47</v>
      </c>
    </row>
    <row r="22" spans="1:34" x14ac:dyDescent="0.3">
      <c r="G22" s="9" t="s">
        <v>53</v>
      </c>
      <c r="H22" s="9"/>
      <c r="I22" s="9"/>
      <c r="J22" s="1">
        <f>IF(AND(NOT(SUM(G17:G18) = 0),NOT(SUM(G17:G18) = G20)),1,0)</f>
        <v>0</v>
      </c>
      <c r="L22" s="9" t="s">
        <v>54</v>
      </c>
      <c r="M22" s="9"/>
      <c r="N22" s="9"/>
      <c r="O22" s="5">
        <f>Y20</f>
        <v>0</v>
      </c>
      <c r="Q22" s="9" t="s">
        <v>55</v>
      </c>
      <c r="R22" s="9"/>
      <c r="S22" s="9"/>
      <c r="T22" s="5">
        <f>IF(AND(NOT(SUM(V17:V18) = 0),NOT(SUM(V17:V18) = V20)),1,0)</f>
        <v>0</v>
      </c>
      <c r="V22" s="9" t="s">
        <v>56</v>
      </c>
      <c r="W22" s="9"/>
      <c r="X22" s="9"/>
      <c r="Y22" s="1">
        <f>IF(SUM(G20:J20, L20:O20,Q20:T20,V20:Y20) = 0, 1, 0)</f>
        <v>0</v>
      </c>
      <c r="AA22" s="2" t="s">
        <v>57</v>
      </c>
      <c r="AB22">
        <f>G20</f>
        <v>0</v>
      </c>
      <c r="AC22" s="2" t="s">
        <v>58</v>
      </c>
      <c r="AD22">
        <f>IF(OR(AND(SUM(G17:G18) = 2,G20 = 0),AND(SUM(G17:G18) = 0,G20 = 1)), 1, 0)</f>
        <v>0</v>
      </c>
    </row>
    <row r="24" spans="1:34" ht="15.6" x14ac:dyDescent="0.35">
      <c r="E24" t="s">
        <v>51</v>
      </c>
      <c r="G24" s="1">
        <f>G5</f>
        <v>0</v>
      </c>
      <c r="H24" s="1">
        <f t="shared" ref="H24:Y25" si="69">H5</f>
        <v>0</v>
      </c>
      <c r="I24" s="1">
        <f t="shared" si="69"/>
        <v>1</v>
      </c>
      <c r="J24" s="1">
        <f t="shared" si="69"/>
        <v>1</v>
      </c>
      <c r="K24" s="1" t="str">
        <f t="shared" si="69"/>
        <v>.</v>
      </c>
      <c r="L24" s="1">
        <f t="shared" si="69"/>
        <v>1</v>
      </c>
      <c r="M24" s="1">
        <f t="shared" si="69"/>
        <v>1</v>
      </c>
      <c r="N24" s="1">
        <f t="shared" si="69"/>
        <v>0</v>
      </c>
      <c r="O24" s="1">
        <f t="shared" si="69"/>
        <v>0</v>
      </c>
      <c r="P24" s="1" t="str">
        <f t="shared" si="69"/>
        <v>.</v>
      </c>
      <c r="Q24" s="1">
        <f t="shared" si="69"/>
        <v>1</v>
      </c>
      <c r="R24" s="1">
        <f t="shared" si="69"/>
        <v>1</v>
      </c>
      <c r="S24" s="1">
        <f t="shared" si="69"/>
        <v>0</v>
      </c>
      <c r="T24" s="1">
        <f t="shared" si="69"/>
        <v>0</v>
      </c>
      <c r="U24" s="1" t="str">
        <f t="shared" si="69"/>
        <v>.</v>
      </c>
      <c r="V24" s="1">
        <f t="shared" si="69"/>
        <v>0</v>
      </c>
      <c r="W24" s="1">
        <f t="shared" si="69"/>
        <v>0</v>
      </c>
      <c r="X24" s="1">
        <f t="shared" si="69"/>
        <v>0</v>
      </c>
      <c r="Y24" s="1">
        <f t="shared" si="69"/>
        <v>1</v>
      </c>
      <c r="AE24" t="s">
        <v>49</v>
      </c>
      <c r="AG24">
        <f>C5</f>
        <v>15553</v>
      </c>
    </row>
    <row r="25" spans="1:34" ht="15.6" x14ac:dyDescent="0.35">
      <c r="D25" t="s">
        <v>43</v>
      </c>
      <c r="E25" t="s">
        <v>59</v>
      </c>
      <c r="G25" s="1">
        <f>G6</f>
        <v>0</v>
      </c>
      <c r="H25" s="1">
        <f t="shared" si="69"/>
        <v>1</v>
      </c>
      <c r="I25" s="1">
        <f t="shared" si="69"/>
        <v>0</v>
      </c>
      <c r="J25" s="1">
        <f t="shared" si="69"/>
        <v>1</v>
      </c>
      <c r="K25" s="1" t="str">
        <f t="shared" si="69"/>
        <v>.</v>
      </c>
      <c r="L25" s="1">
        <f t="shared" si="69"/>
        <v>0</v>
      </c>
      <c r="M25" s="1">
        <f t="shared" si="69"/>
        <v>0</v>
      </c>
      <c r="N25" s="1">
        <f t="shared" si="69"/>
        <v>1</v>
      </c>
      <c r="O25" s="1">
        <f t="shared" si="69"/>
        <v>1</v>
      </c>
      <c r="P25" s="1" t="str">
        <f t="shared" si="69"/>
        <v>.</v>
      </c>
      <c r="Q25" s="1">
        <f t="shared" si="69"/>
        <v>0</v>
      </c>
      <c r="R25" s="1">
        <f t="shared" si="69"/>
        <v>1</v>
      </c>
      <c r="S25" s="1">
        <f t="shared" si="69"/>
        <v>1</v>
      </c>
      <c r="T25" s="1">
        <f t="shared" si="69"/>
        <v>1</v>
      </c>
      <c r="U25" s="1" t="str">
        <f t="shared" si="69"/>
        <v>.</v>
      </c>
      <c r="V25" s="1">
        <f t="shared" si="69"/>
        <v>0</v>
      </c>
      <c r="W25" s="1">
        <f t="shared" si="69"/>
        <v>1</v>
      </c>
      <c r="X25" s="1">
        <f t="shared" si="69"/>
        <v>0</v>
      </c>
      <c r="Y25" s="1">
        <f t="shared" si="69"/>
        <v>0</v>
      </c>
      <c r="AD25" t="s">
        <v>43</v>
      </c>
      <c r="AE25" t="s">
        <v>60</v>
      </c>
      <c r="AG25">
        <f>C6</f>
        <v>21364</v>
      </c>
    </row>
    <row r="26" spans="1:34" x14ac:dyDescent="0.3">
      <c r="E26" s="7" t="s">
        <v>44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AC26" s="1" t="s">
        <v>45</v>
      </c>
      <c r="AD26" s="8" t="s">
        <v>52</v>
      </c>
      <c r="AE26" s="8"/>
      <c r="AF26" s="8"/>
      <c r="AG26" s="8"/>
    </row>
    <row r="27" spans="1:34" ht="15.6" x14ac:dyDescent="0.35">
      <c r="F27" s="1"/>
      <c r="G27" s="1">
        <f t="shared" ref="G27:H27" si="70">MOD(SUM(G24:G25, IF(AND(NOT(SUM(H24:H25) = 0),NOT(SUM(H24:H25) = H27)),1,0)),2)</f>
        <v>1</v>
      </c>
      <c r="H27" s="1">
        <f t="shared" si="70"/>
        <v>0</v>
      </c>
      <c r="I27" s="1">
        <f>MOD(SUM(I24:I25, IF(AND(NOT(SUM(J24:J25) = 0),NOT(SUM(J24:J25) = J27)),1,0)),2)</f>
        <v>0</v>
      </c>
      <c r="J27" s="1">
        <f>MOD(SUM(J24:J25, IF(AND(NOT(SUM(L24:L25) = 0),NOT(SUM(L24:L25) = L27)),1,0)),2)</f>
        <v>1</v>
      </c>
      <c r="K27" s="1" t="s">
        <v>42</v>
      </c>
      <c r="L27" s="1">
        <f t="shared" ref="L27:M27" si="71">MOD(SUM(L24:L25, IF(AND(NOT(SUM(M24:M25) = 0),NOT(SUM(M24:M25) = M27)),1,0)),2)</f>
        <v>0</v>
      </c>
      <c r="M27" s="1">
        <f t="shared" si="71"/>
        <v>0</v>
      </c>
      <c r="N27" s="1">
        <f>MOD(SUM(N24:N25, IF(AND(NOT(SUM(O24:O25) = 0),NOT(SUM(O24:O25) = O27)),1,0)),2)</f>
        <v>0</v>
      </c>
      <c r="O27" s="1">
        <f>MOD(SUM(O24:O25, IF(AND(NOT(SUM(Q24:Q25) = 0),NOT(SUM(Q24:Q25) = Q27)),1,0)),2)</f>
        <v>0</v>
      </c>
      <c r="P27" s="1" t="s">
        <v>42</v>
      </c>
      <c r="Q27" s="1">
        <f t="shared" ref="Q27:R27" si="72">MOD(SUM(Q24:Q25, IF(AND(NOT(SUM(R24:R25) = 0),NOT(SUM(R24:R25) = R27)),1,0)),2)</f>
        <v>0</v>
      </c>
      <c r="R27" s="1">
        <f t="shared" si="72"/>
        <v>0</v>
      </c>
      <c r="S27" s="1">
        <f>MOD(SUM(S24:S25, IF(AND(NOT(SUM(T24:T25) = 0),NOT(SUM(T24:T25) = T27)),1,0)),2)</f>
        <v>1</v>
      </c>
      <c r="T27" s="1">
        <f>MOD(SUM(T24:T25, IF(AND(NOT(SUM(V24:V25) = 0),NOT(SUM(V24:V25) = V27)),1,0)),2)</f>
        <v>1</v>
      </c>
      <c r="U27" s="1" t="s">
        <v>42</v>
      </c>
      <c r="V27" s="1">
        <f>MOD(SUM(V24:V25, IF(AND(NOT(SUM(W24:W25) = 0),NOT(SUM(W24:W25) = W27)),1,0)),2)</f>
        <v>0</v>
      </c>
      <c r="W27" s="1">
        <f>MOD(SUM(W24:W25, IF(AND(NOT(SUM(X24:X25) = 0),NOT(SUM(X24:X25) = X27)),1,0)),2)</f>
        <v>1</v>
      </c>
      <c r="X27" s="1">
        <f>MOD(SUM(X24:X25, IF(AND(NOT(SUM(Y24:Y25) = 0),NOT(SUM(Y24:Y25) = Y27)),1,0)),2)</f>
        <v>0</v>
      </c>
      <c r="Y27" s="1">
        <f>MOD(SUM(Y24:Y25, IF(AND(NOT(SUM(Z24:Z25) = 0),NOT(SUM(Z24:Z25) = Z27)),1,0)),2)</f>
        <v>1</v>
      </c>
      <c r="Z27" s="3" t="s">
        <v>46</v>
      </c>
      <c r="AA27" s="1">
        <f>SUM(Y27 *1,X27 *2,W27 *4,V27 * 8, T27 *16, S27 * 32,R27 * 64,Q27 * 128, O27 * 256, N27 * 512, M27 * 1024,L27 * 2048, J27 * 4096, I27 * 8192, H27 * 8192 * 2, G27 * 8192 *4) + IF(AB29 = 0, 0, -65536)</f>
        <v>-28619</v>
      </c>
      <c r="AB27" s="4" t="s">
        <v>47</v>
      </c>
      <c r="AG27">
        <f>SUM(AG24:AG25)</f>
        <v>36917</v>
      </c>
      <c r="AH27" s="4" t="s">
        <v>47</v>
      </c>
    </row>
    <row r="29" spans="1:34" x14ac:dyDescent="0.3">
      <c r="G29" s="9" t="s">
        <v>53</v>
      </c>
      <c r="H29" s="9"/>
      <c r="I29" s="9"/>
      <c r="J29" s="1">
        <f>IF(AND(NOT(SUM(G24:G25) = 0),NOT(SUM(G24:G25) = G27)),1,0)</f>
        <v>0</v>
      </c>
      <c r="L29" s="9" t="s">
        <v>54</v>
      </c>
      <c r="M29" s="9"/>
      <c r="N29" s="9"/>
      <c r="O29" s="5">
        <f>Y27</f>
        <v>1</v>
      </c>
      <c r="Q29" s="9" t="s">
        <v>55</v>
      </c>
      <c r="R29" s="9"/>
      <c r="S29" s="9"/>
      <c r="T29" s="5">
        <f>IF(AND(NOT(SUM(V24:V25) = 0),NOT(SUM(V24:V25) = V27)),1,0)</f>
        <v>0</v>
      </c>
      <c r="V29" s="9" t="s">
        <v>56</v>
      </c>
      <c r="W29" s="9"/>
      <c r="X29" s="9"/>
      <c r="Y29" s="1">
        <f>IF(SUM(G27:J27, L27:O27,Q27:T27,V27:Y27) = 0, 1, 0)</f>
        <v>0</v>
      </c>
      <c r="AA29" s="2" t="s">
        <v>57</v>
      </c>
      <c r="AB29">
        <f>G27</f>
        <v>1</v>
      </c>
      <c r="AC29" s="2" t="s">
        <v>58</v>
      </c>
      <c r="AD29">
        <f>IF(OR(AND(SUM(G24:G25) = 2,G27 = 0),AND(SUM(G24:G25) = 0,G27 = 1)), 1, 0)</f>
        <v>1</v>
      </c>
    </row>
    <row r="31" spans="1:34" ht="15.6" x14ac:dyDescent="0.35">
      <c r="E31" t="s">
        <v>51</v>
      </c>
      <c r="G31" s="1">
        <f>G12</f>
        <v>1</v>
      </c>
      <c r="H31" s="1">
        <f t="shared" ref="H31:Y31" si="73">H12</f>
        <v>0</v>
      </c>
      <c r="I31" s="1">
        <f t="shared" si="73"/>
        <v>1</v>
      </c>
      <c r="J31" s="1">
        <f t="shared" si="73"/>
        <v>0</v>
      </c>
      <c r="K31" s="1" t="str">
        <f t="shared" si="73"/>
        <v>.</v>
      </c>
      <c r="L31" s="1">
        <f t="shared" si="73"/>
        <v>1</v>
      </c>
      <c r="M31" s="1">
        <f t="shared" si="73"/>
        <v>1</v>
      </c>
      <c r="N31" s="1">
        <f t="shared" si="73"/>
        <v>0</v>
      </c>
      <c r="O31" s="1">
        <f t="shared" si="73"/>
        <v>0</v>
      </c>
      <c r="P31" s="1" t="str">
        <f t="shared" si="73"/>
        <v>.</v>
      </c>
      <c r="Q31" s="1">
        <f t="shared" si="73"/>
        <v>1</v>
      </c>
      <c r="R31" s="1">
        <f t="shared" si="73"/>
        <v>0</v>
      </c>
      <c r="S31" s="1">
        <f t="shared" si="73"/>
        <v>0</v>
      </c>
      <c r="T31" s="1">
        <f t="shared" si="73"/>
        <v>0</v>
      </c>
      <c r="U31" s="1" t="str">
        <f t="shared" si="73"/>
        <v>.</v>
      </c>
      <c r="V31" s="1">
        <f t="shared" si="73"/>
        <v>1</v>
      </c>
      <c r="W31" s="1">
        <f t="shared" si="73"/>
        <v>1</v>
      </c>
      <c r="X31" s="1">
        <f t="shared" si="73"/>
        <v>0</v>
      </c>
      <c r="Y31" s="1">
        <f t="shared" si="73"/>
        <v>0</v>
      </c>
      <c r="AE31" t="s">
        <v>49</v>
      </c>
      <c r="AG31">
        <f>C12</f>
        <v>-21364</v>
      </c>
    </row>
    <row r="32" spans="1:34" ht="15.6" x14ac:dyDescent="0.35">
      <c r="D32" t="s">
        <v>43</v>
      </c>
      <c r="E32" t="s">
        <v>61</v>
      </c>
      <c r="G32" s="1">
        <f>G10</f>
        <v>1</v>
      </c>
      <c r="H32" s="1">
        <f t="shared" ref="H32:Y32" si="74">H10</f>
        <v>1</v>
      </c>
      <c r="I32" s="1">
        <f t="shared" si="74"/>
        <v>1</v>
      </c>
      <c r="J32" s="1">
        <f t="shared" si="74"/>
        <v>0</v>
      </c>
      <c r="K32" s="1" t="str">
        <f t="shared" si="74"/>
        <v>.</v>
      </c>
      <c r="L32" s="1">
        <f t="shared" si="74"/>
        <v>1</v>
      </c>
      <c r="M32" s="1">
        <f t="shared" si="74"/>
        <v>0</v>
      </c>
      <c r="N32" s="1">
        <f t="shared" si="74"/>
        <v>0</v>
      </c>
      <c r="O32" s="1">
        <f t="shared" si="74"/>
        <v>1</v>
      </c>
      <c r="P32" s="1" t="str">
        <f t="shared" si="74"/>
        <v>.</v>
      </c>
      <c r="Q32" s="1">
        <f t="shared" si="74"/>
        <v>0</v>
      </c>
      <c r="R32" s="1">
        <f t="shared" si="74"/>
        <v>1</v>
      </c>
      <c r="S32" s="1">
        <f t="shared" si="74"/>
        <v>0</v>
      </c>
      <c r="T32" s="1">
        <f t="shared" si="74"/>
        <v>0</v>
      </c>
      <c r="U32" s="1" t="str">
        <f t="shared" si="74"/>
        <v>.</v>
      </c>
      <c r="V32" s="1">
        <f t="shared" si="74"/>
        <v>1</v>
      </c>
      <c r="W32" s="1">
        <f t="shared" si="74"/>
        <v>1</v>
      </c>
      <c r="X32" s="1">
        <f t="shared" si="74"/>
        <v>0</v>
      </c>
      <c r="Y32" s="1">
        <f t="shared" si="74"/>
        <v>1</v>
      </c>
      <c r="AD32" t="s">
        <v>43</v>
      </c>
      <c r="AE32" t="s">
        <v>62</v>
      </c>
      <c r="AG32">
        <f>C10</f>
        <v>-5811</v>
      </c>
    </row>
    <row r="33" spans="4:34" x14ac:dyDescent="0.3">
      <c r="E33" s="7" t="s">
        <v>44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AC33" s="1" t="s">
        <v>45</v>
      </c>
      <c r="AD33" s="8" t="s">
        <v>52</v>
      </c>
      <c r="AE33" s="8"/>
      <c r="AF33" s="8"/>
      <c r="AG33" s="8"/>
    </row>
    <row r="34" spans="4:34" ht="15.6" x14ac:dyDescent="0.35">
      <c r="F34" s="1"/>
      <c r="G34" s="1">
        <f t="shared" ref="G34:H34" si="75">MOD(SUM(G31:G32, IF(AND(NOT(SUM(H31:H32) = 0),NOT(SUM(H31:H32) = H34)),1,0)),2)</f>
        <v>1</v>
      </c>
      <c r="H34" s="1">
        <f t="shared" si="75"/>
        <v>0</v>
      </c>
      <c r="I34" s="1">
        <f>MOD(SUM(I31:I32, IF(AND(NOT(SUM(J31:J32) = 0),NOT(SUM(J31:J32) = J34)),1,0)),2)</f>
        <v>0</v>
      </c>
      <c r="J34" s="1">
        <f>MOD(SUM(J31:J32, IF(AND(NOT(SUM(L31:L32) = 0),NOT(SUM(L31:L32) = L34)),1,0)),2)</f>
        <v>1</v>
      </c>
      <c r="K34" s="1" t="s">
        <v>42</v>
      </c>
      <c r="L34" s="1">
        <f t="shared" ref="L34:M34" si="76">MOD(SUM(L31:L32, IF(AND(NOT(SUM(M31:M32) = 0),NOT(SUM(M31:M32) = M34)),1,0)),2)</f>
        <v>0</v>
      </c>
      <c r="M34" s="1">
        <f t="shared" si="76"/>
        <v>1</v>
      </c>
      <c r="N34" s="1">
        <f>MOD(SUM(N31:N32, IF(AND(NOT(SUM(O31:O32) = 0),NOT(SUM(O31:O32) = O34)),1,0)),2)</f>
        <v>0</v>
      </c>
      <c r="O34" s="1">
        <f>MOD(SUM(O31:O32, IF(AND(NOT(SUM(Q31:Q32) = 0),NOT(SUM(Q31:Q32) = Q34)),1,0)),2)</f>
        <v>1</v>
      </c>
      <c r="P34" s="1" t="s">
        <v>42</v>
      </c>
      <c r="Q34" s="1">
        <f t="shared" ref="Q34:R34" si="77">MOD(SUM(Q31:Q32, IF(AND(NOT(SUM(R31:R32) = 0),NOT(SUM(R31:R32) = R34)),1,0)),2)</f>
        <v>1</v>
      </c>
      <c r="R34" s="1">
        <f t="shared" si="77"/>
        <v>1</v>
      </c>
      <c r="S34" s="1">
        <f>MOD(SUM(S31:S32, IF(AND(NOT(SUM(T31:T32) = 0),NOT(SUM(T31:T32) = T34)),1,0)),2)</f>
        <v>0</v>
      </c>
      <c r="T34" s="1">
        <f>MOD(SUM(T31:T32, IF(AND(NOT(SUM(V31:V32) = 0),NOT(SUM(V31:V32) = V34)),1,0)),2)</f>
        <v>1</v>
      </c>
      <c r="U34" s="1" t="s">
        <v>42</v>
      </c>
      <c r="V34" s="1">
        <f>MOD(SUM(V31:V32, IF(AND(NOT(SUM(W31:W32) = 0),NOT(SUM(W31:W32) = W34)),1,0)),2)</f>
        <v>1</v>
      </c>
      <c r="W34" s="1">
        <f>MOD(SUM(W31:W32, IF(AND(NOT(SUM(X31:X32) = 0),NOT(SUM(X31:X32) = X34)),1,0)),2)</f>
        <v>0</v>
      </c>
      <c r="X34" s="1">
        <f>MOD(SUM(X31:X32, IF(AND(NOT(SUM(Y31:Y32) = 0),NOT(SUM(Y31:Y32) = Y34)),1,0)),2)</f>
        <v>0</v>
      </c>
      <c r="Y34" s="1">
        <f>MOD(SUM(Y31:Y32, IF(AND(NOT(SUM(Z31:Z32) = 0),NOT(SUM(Z31:Z32) = Z34)),1,0)),2)</f>
        <v>1</v>
      </c>
      <c r="Z34" s="3" t="s">
        <v>46</v>
      </c>
      <c r="AA34" s="1">
        <f>SUM(Y34 *1,X34 *2,W34 *4,V34 * 8, T34 *16, S34 * 32,R34 * 64,Q34 * 128, O34 * 256, N34 * 512, M34 * 1024,L34 * 2048, J34 * 4096, I34 * 8192, H34 * 8192 * 2, G34 * 8192 *4) + IF(AB36 = 0, 0, -65536)</f>
        <v>-27175</v>
      </c>
      <c r="AB34" s="4" t="s">
        <v>47</v>
      </c>
      <c r="AG34">
        <f>SUM(AG31:AG32)</f>
        <v>-27175</v>
      </c>
      <c r="AH34" s="4" t="s">
        <v>47</v>
      </c>
    </row>
    <row r="36" spans="4:34" x14ac:dyDescent="0.3">
      <c r="G36" s="9" t="s">
        <v>53</v>
      </c>
      <c r="H36" s="9"/>
      <c r="I36" s="9"/>
      <c r="J36" s="1">
        <f>IF(AND(NOT(SUM(G31:G32) = 0),NOT(SUM(G31:G32) = G34)),1,0)</f>
        <v>1</v>
      </c>
      <c r="L36" s="9" t="s">
        <v>54</v>
      </c>
      <c r="M36" s="9"/>
      <c r="N36" s="9"/>
      <c r="O36" s="5">
        <f>Y34</f>
        <v>1</v>
      </c>
      <c r="Q36" s="9" t="s">
        <v>55</v>
      </c>
      <c r="R36" s="9"/>
      <c r="S36" s="9"/>
      <c r="T36" s="5">
        <f>IF(AND(NOT(SUM(V31:V32) = 0),NOT(SUM(V31:V32) = V34)),1,0)</f>
        <v>1</v>
      </c>
      <c r="V36" s="9" t="s">
        <v>56</v>
      </c>
      <c r="W36" s="9"/>
      <c r="X36" s="9"/>
      <c r="Y36" s="1">
        <f>IF(SUM(G34:J34, L34:O34,Q34:T34,V34:Y34) = 0, 1, 0)</f>
        <v>0</v>
      </c>
      <c r="AA36" s="2" t="s">
        <v>57</v>
      </c>
      <c r="AB36">
        <f>G34</f>
        <v>1</v>
      </c>
      <c r="AC36" s="2" t="s">
        <v>58</v>
      </c>
      <c r="AD36">
        <f>IF(OR(AND(SUM(G31:G32) = 2,G34 = 0),AND(SUM(G31:G32) = 0,G34 = 1)), 1, 0)</f>
        <v>0</v>
      </c>
    </row>
    <row r="38" spans="4:34" ht="15.6" x14ac:dyDescent="0.35">
      <c r="E38" t="s">
        <v>61</v>
      </c>
      <c r="G38" s="1">
        <f>G10</f>
        <v>1</v>
      </c>
      <c r="H38" s="1">
        <f t="shared" ref="H38:Y39" si="78">H10</f>
        <v>1</v>
      </c>
      <c r="I38" s="1">
        <f t="shared" si="78"/>
        <v>1</v>
      </c>
      <c r="J38" s="1">
        <f t="shared" si="78"/>
        <v>0</v>
      </c>
      <c r="K38" s="1" t="str">
        <f t="shared" si="78"/>
        <v>.</v>
      </c>
      <c r="L38" s="1">
        <f t="shared" si="78"/>
        <v>1</v>
      </c>
      <c r="M38" s="1">
        <f t="shared" si="78"/>
        <v>0</v>
      </c>
      <c r="N38" s="1">
        <f t="shared" si="78"/>
        <v>0</v>
      </c>
      <c r="O38" s="1">
        <f t="shared" si="78"/>
        <v>1</v>
      </c>
      <c r="P38" s="1" t="str">
        <f t="shared" si="78"/>
        <v>.</v>
      </c>
      <c r="Q38" s="1">
        <f t="shared" si="78"/>
        <v>0</v>
      </c>
      <c r="R38" s="1">
        <f t="shared" si="78"/>
        <v>1</v>
      </c>
      <c r="S38" s="1">
        <f t="shared" si="78"/>
        <v>0</v>
      </c>
      <c r="T38" s="1">
        <f t="shared" si="78"/>
        <v>0</v>
      </c>
      <c r="U38" s="1" t="str">
        <f t="shared" si="78"/>
        <v>.</v>
      </c>
      <c r="V38" s="1">
        <f t="shared" si="78"/>
        <v>1</v>
      </c>
      <c r="W38" s="1">
        <f t="shared" si="78"/>
        <v>1</v>
      </c>
      <c r="X38" s="1">
        <f t="shared" si="78"/>
        <v>0</v>
      </c>
      <c r="Y38" s="1">
        <f t="shared" si="78"/>
        <v>1</v>
      </c>
      <c r="AE38" t="s">
        <v>62</v>
      </c>
      <c r="AG38">
        <f>C10</f>
        <v>-5811</v>
      </c>
    </row>
    <row r="39" spans="4:34" ht="15.6" x14ac:dyDescent="0.35">
      <c r="D39" t="s">
        <v>43</v>
      </c>
      <c r="E39" t="s">
        <v>63</v>
      </c>
      <c r="G39" s="1">
        <f>G11</f>
        <v>1</v>
      </c>
      <c r="H39" s="1">
        <f t="shared" si="78"/>
        <v>1</v>
      </c>
      <c r="I39" s="1">
        <f t="shared" si="78"/>
        <v>0</v>
      </c>
      <c r="J39" s="1">
        <f t="shared" si="78"/>
        <v>0</v>
      </c>
      <c r="K39" s="1" t="str">
        <f t="shared" si="78"/>
        <v>.</v>
      </c>
      <c r="L39" s="1">
        <f t="shared" si="78"/>
        <v>0</v>
      </c>
      <c r="M39" s="1">
        <f t="shared" si="78"/>
        <v>0</v>
      </c>
      <c r="N39" s="1">
        <f t="shared" si="78"/>
        <v>1</v>
      </c>
      <c r="O39" s="1">
        <f t="shared" si="78"/>
        <v>1</v>
      </c>
      <c r="P39" s="1" t="str">
        <f t="shared" si="78"/>
        <v>.</v>
      </c>
      <c r="Q39" s="1">
        <f t="shared" si="78"/>
        <v>0</v>
      </c>
      <c r="R39" s="1">
        <f t="shared" si="78"/>
        <v>0</v>
      </c>
      <c r="S39" s="1">
        <f t="shared" si="78"/>
        <v>1</v>
      </c>
      <c r="T39" s="1">
        <f t="shared" si="78"/>
        <v>1</v>
      </c>
      <c r="U39" s="1" t="str">
        <f t="shared" si="78"/>
        <v>.</v>
      </c>
      <c r="V39" s="1">
        <f t="shared" si="78"/>
        <v>1</v>
      </c>
      <c r="W39" s="1">
        <f t="shared" si="78"/>
        <v>1</v>
      </c>
      <c r="X39" s="1">
        <f t="shared" si="78"/>
        <v>1</v>
      </c>
      <c r="Y39" s="1">
        <f t="shared" si="78"/>
        <v>1</v>
      </c>
      <c r="AD39" t="s">
        <v>43</v>
      </c>
      <c r="AE39" t="s">
        <v>65</v>
      </c>
      <c r="AG39">
        <f>C11</f>
        <v>-15553</v>
      </c>
    </row>
    <row r="40" spans="4:34" x14ac:dyDescent="0.3">
      <c r="E40" s="7" t="s">
        <v>44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AC40" s="1" t="s">
        <v>45</v>
      </c>
      <c r="AD40" s="8" t="s">
        <v>52</v>
      </c>
      <c r="AE40" s="8"/>
      <c r="AF40" s="8"/>
      <c r="AG40" s="8"/>
    </row>
    <row r="41" spans="4:34" ht="15.6" x14ac:dyDescent="0.35">
      <c r="F41" s="1"/>
      <c r="G41" s="1">
        <f t="shared" ref="G41:H41" si="79">MOD(SUM(G38:G39, IF(AND(NOT(SUM(H38:H39) = 0),NOT(SUM(H38:H39) = H41)),1,0)),2)</f>
        <v>1</v>
      </c>
      <c r="H41" s="1">
        <f t="shared" si="79"/>
        <v>0</v>
      </c>
      <c r="I41" s="1">
        <f>MOD(SUM(I38:I39, IF(AND(NOT(SUM(J38:J39) = 0),NOT(SUM(J38:J39) = J41)),1,0)),2)</f>
        <v>1</v>
      </c>
      <c r="J41" s="1">
        <f>MOD(SUM(J38:J39, IF(AND(NOT(SUM(L38:L39) = 0),NOT(SUM(L38:L39) = L41)),1,0)),2)</f>
        <v>0</v>
      </c>
      <c r="K41" s="1" t="s">
        <v>42</v>
      </c>
      <c r="L41" s="1">
        <f t="shared" ref="L41:M41" si="80">MOD(SUM(L38:L39, IF(AND(NOT(SUM(M38:M39) = 0),NOT(SUM(M38:M39) = M41)),1,0)),2)</f>
        <v>1</v>
      </c>
      <c r="M41" s="1">
        <f t="shared" si="80"/>
        <v>1</v>
      </c>
      <c r="N41" s="1">
        <f>MOD(SUM(N38:N39, IF(AND(NOT(SUM(O38:O39) = 0),NOT(SUM(O38:O39) = O41)),1,0)),2)</f>
        <v>0</v>
      </c>
      <c r="O41" s="1">
        <f>MOD(SUM(O38:O39, IF(AND(NOT(SUM(Q38:Q39) = 0),NOT(SUM(Q38:Q39) = Q41)),1,0)),2)</f>
        <v>0</v>
      </c>
      <c r="P41" s="1" t="s">
        <v>42</v>
      </c>
      <c r="Q41" s="1">
        <f t="shared" ref="Q41:R41" si="81">MOD(SUM(Q38:Q39, IF(AND(NOT(SUM(R38:R39) = 0),NOT(SUM(R38:R39) = R41)),1,0)),2)</f>
        <v>1</v>
      </c>
      <c r="R41" s="1">
        <f t="shared" si="81"/>
        <v>0</v>
      </c>
      <c r="S41" s="1">
        <f>MOD(SUM(S38:S39, IF(AND(NOT(SUM(T38:T39) = 0),NOT(SUM(T38:T39) = T41)),1,0)),2)</f>
        <v>0</v>
      </c>
      <c r="T41" s="1">
        <f>MOD(SUM(T38:T39, IF(AND(NOT(SUM(V38:V39) = 0),NOT(SUM(V38:V39) = V41)),1,0)),2)</f>
        <v>0</v>
      </c>
      <c r="U41" s="1" t="s">
        <v>42</v>
      </c>
      <c r="V41" s="1">
        <f>MOD(SUM(V38:V39, IF(AND(NOT(SUM(W38:W39) = 0),NOT(SUM(W38:W39) = W41)),1,0)),2)</f>
        <v>1</v>
      </c>
      <c r="W41" s="1">
        <f>MOD(SUM(W38:W39, IF(AND(NOT(SUM(X38:X39) = 0),NOT(SUM(X38:X39) = X41)),1,0)),2)</f>
        <v>1</v>
      </c>
      <c r="X41" s="1">
        <f>MOD(SUM(X38:X39, IF(AND(NOT(SUM(Y38:Y39) = 0),NOT(SUM(Y38:Y39) = Y41)),1,0)),2)</f>
        <v>0</v>
      </c>
      <c r="Y41" s="1">
        <f>MOD(SUM(Y38:Y39, IF(AND(NOT(SUM(Z38:Z39) = 0),NOT(SUM(Z38:Z39) = Z41)),1,0)),2)</f>
        <v>0</v>
      </c>
      <c r="Z41" s="3" t="s">
        <v>46</v>
      </c>
      <c r="AA41" s="1">
        <f>SUM(Y41 *1,X41 *2,W41 *4,V41 * 8, T41 *16, S41 * 32,R41 * 64,Q41 * 128, O41 * 256, N41 * 512, M41 * 1024,L41 * 2048, J41 * 4096, I41 * 8192, H41 * 8192 * 2, G41 * 8192 *4) + IF(AB43 = 0, 0, -65536)</f>
        <v>-21364</v>
      </c>
      <c r="AB41" s="4" t="s">
        <v>47</v>
      </c>
      <c r="AG41">
        <f>SUM(AG38:AG39)</f>
        <v>-21364</v>
      </c>
      <c r="AH41" s="4" t="s">
        <v>47</v>
      </c>
    </row>
    <row r="43" spans="4:34" x14ac:dyDescent="0.3">
      <c r="G43" s="9" t="s">
        <v>53</v>
      </c>
      <c r="H43" s="9"/>
      <c r="I43" s="9"/>
      <c r="J43" s="1">
        <f>IF(AND(NOT(SUM(G38:G39) = 0),NOT(SUM(G38:G39) = G41)),1,0)</f>
        <v>1</v>
      </c>
      <c r="L43" s="9" t="s">
        <v>54</v>
      </c>
      <c r="M43" s="9"/>
      <c r="N43" s="9"/>
      <c r="O43" s="5">
        <f>Y41</f>
        <v>0</v>
      </c>
      <c r="Q43" s="9" t="s">
        <v>55</v>
      </c>
      <c r="R43" s="9"/>
      <c r="S43" s="9"/>
      <c r="T43" s="5">
        <f>IF(AND(NOT(SUM(V38:V39) = 0),NOT(SUM(V38:V39) = V41)),1,0)</f>
        <v>1</v>
      </c>
      <c r="V43" s="9" t="s">
        <v>56</v>
      </c>
      <c r="W43" s="9"/>
      <c r="X43" s="9"/>
      <c r="Y43" s="1">
        <f>IF(SUM(G41:J41, L41:O41,Q41:T41,V41:Y41) = 0, 1, 0)</f>
        <v>0</v>
      </c>
      <c r="AA43" s="2" t="s">
        <v>57</v>
      </c>
      <c r="AB43">
        <f>G41</f>
        <v>1</v>
      </c>
      <c r="AC43" s="2" t="s">
        <v>58</v>
      </c>
      <c r="AD43">
        <f>IF(OR(AND(SUM(G38:G39) = 2,G41 = 0),AND(SUM(G38:G39) = 0,G41 = 1)), 1, 0)</f>
        <v>0</v>
      </c>
    </row>
    <row r="45" spans="4:34" ht="15.6" x14ac:dyDescent="0.35">
      <c r="E45" t="s">
        <v>63</v>
      </c>
      <c r="G45" s="1">
        <f>G11</f>
        <v>1</v>
      </c>
      <c r="H45" s="1">
        <f t="shared" ref="H45:Y46" si="82">H11</f>
        <v>1</v>
      </c>
      <c r="I45" s="1">
        <f t="shared" si="82"/>
        <v>0</v>
      </c>
      <c r="J45" s="1">
        <f t="shared" si="82"/>
        <v>0</v>
      </c>
      <c r="K45" s="1" t="str">
        <f t="shared" si="82"/>
        <v>.</v>
      </c>
      <c r="L45" s="1">
        <f t="shared" si="82"/>
        <v>0</v>
      </c>
      <c r="M45" s="1">
        <f t="shared" si="82"/>
        <v>0</v>
      </c>
      <c r="N45" s="1">
        <f t="shared" si="82"/>
        <v>1</v>
      </c>
      <c r="O45" s="1">
        <f t="shared" si="82"/>
        <v>1</v>
      </c>
      <c r="P45" s="1" t="str">
        <f t="shared" si="82"/>
        <v>.</v>
      </c>
      <c r="Q45" s="1">
        <f t="shared" si="82"/>
        <v>0</v>
      </c>
      <c r="R45" s="1">
        <f t="shared" si="82"/>
        <v>0</v>
      </c>
      <c r="S45" s="1">
        <f t="shared" si="82"/>
        <v>1</v>
      </c>
      <c r="T45" s="1">
        <f t="shared" si="82"/>
        <v>1</v>
      </c>
      <c r="U45" s="1" t="str">
        <f t="shared" si="82"/>
        <v>.</v>
      </c>
      <c r="V45" s="1">
        <f t="shared" si="82"/>
        <v>1</v>
      </c>
      <c r="W45" s="1">
        <f t="shared" si="82"/>
        <v>1</v>
      </c>
      <c r="X45" s="1">
        <f t="shared" si="82"/>
        <v>1</v>
      </c>
      <c r="Y45" s="1">
        <f t="shared" si="82"/>
        <v>1</v>
      </c>
      <c r="AE45" t="s">
        <v>65</v>
      </c>
      <c r="AG45">
        <f>C11</f>
        <v>-15553</v>
      </c>
    </row>
    <row r="46" spans="4:34" ht="15.6" x14ac:dyDescent="0.35">
      <c r="D46" t="s">
        <v>43</v>
      </c>
      <c r="E46" t="s">
        <v>64</v>
      </c>
      <c r="G46" s="1">
        <f>G12</f>
        <v>1</v>
      </c>
      <c r="H46" s="1">
        <f t="shared" si="82"/>
        <v>0</v>
      </c>
      <c r="I46" s="1">
        <f t="shared" si="82"/>
        <v>1</v>
      </c>
      <c r="J46" s="1">
        <f t="shared" si="82"/>
        <v>0</v>
      </c>
      <c r="K46" s="1" t="str">
        <f t="shared" si="82"/>
        <v>.</v>
      </c>
      <c r="L46" s="1">
        <f t="shared" si="82"/>
        <v>1</v>
      </c>
      <c r="M46" s="1">
        <f t="shared" si="82"/>
        <v>1</v>
      </c>
      <c r="N46" s="1">
        <f t="shared" si="82"/>
        <v>0</v>
      </c>
      <c r="O46" s="1">
        <f t="shared" si="82"/>
        <v>0</v>
      </c>
      <c r="P46" s="1" t="str">
        <f t="shared" si="82"/>
        <v>.</v>
      </c>
      <c r="Q46" s="1">
        <f t="shared" si="82"/>
        <v>1</v>
      </c>
      <c r="R46" s="1">
        <f t="shared" si="82"/>
        <v>0</v>
      </c>
      <c r="S46" s="1">
        <f t="shared" si="82"/>
        <v>0</v>
      </c>
      <c r="T46" s="1">
        <f t="shared" si="82"/>
        <v>0</v>
      </c>
      <c r="U46" s="1" t="str">
        <f t="shared" si="82"/>
        <v>.</v>
      </c>
      <c r="V46" s="1">
        <f t="shared" si="82"/>
        <v>1</v>
      </c>
      <c r="W46" s="1">
        <f t="shared" si="82"/>
        <v>1</v>
      </c>
      <c r="X46" s="1">
        <f t="shared" si="82"/>
        <v>0</v>
      </c>
      <c r="Y46" s="1">
        <f t="shared" si="82"/>
        <v>0</v>
      </c>
      <c r="AD46" t="s">
        <v>43</v>
      </c>
      <c r="AE46" t="s">
        <v>66</v>
      </c>
      <c r="AG46">
        <f>C12</f>
        <v>-21364</v>
      </c>
    </row>
    <row r="47" spans="4:34" x14ac:dyDescent="0.3">
      <c r="E47" s="7" t="s">
        <v>44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AC47" s="1" t="s">
        <v>45</v>
      </c>
      <c r="AD47" s="8" t="s">
        <v>52</v>
      </c>
      <c r="AE47" s="8"/>
      <c r="AF47" s="8"/>
      <c r="AG47" s="8"/>
    </row>
    <row r="48" spans="4:34" ht="15.6" x14ac:dyDescent="0.35">
      <c r="F48" s="1"/>
      <c r="G48" s="1">
        <f t="shared" ref="G48:H48" si="83">MOD(SUM(G45:G46, IF(AND(NOT(SUM(H45:H46) = 0),NOT(SUM(H45:H46) = H48)),1,0)),2)</f>
        <v>0</v>
      </c>
      <c r="H48" s="1">
        <f t="shared" si="83"/>
        <v>1</v>
      </c>
      <c r="I48" s="1">
        <f>MOD(SUM(I45:I46, IF(AND(NOT(SUM(J45:J46) = 0),NOT(SUM(J45:J46) = J48)),1,0)),2)</f>
        <v>1</v>
      </c>
      <c r="J48" s="1">
        <f>MOD(SUM(J45:J46, IF(AND(NOT(SUM(L45:L46) = 0),NOT(SUM(L45:L46) = L48)),1,0)),2)</f>
        <v>0</v>
      </c>
      <c r="K48" s="1" t="s">
        <v>42</v>
      </c>
      <c r="L48" s="1">
        <f t="shared" ref="L48:M48" si="84">MOD(SUM(L45:L46, IF(AND(NOT(SUM(M45:M46) = 0),NOT(SUM(M45:M46) = M48)),1,0)),2)</f>
        <v>1</v>
      </c>
      <c r="M48" s="1">
        <f t="shared" si="84"/>
        <v>1</v>
      </c>
      <c r="N48" s="1">
        <f>MOD(SUM(N45:N46, IF(AND(NOT(SUM(O45:O46) = 0),NOT(SUM(O45:O46) = O48)),1,0)),2)</f>
        <v>1</v>
      </c>
      <c r="O48" s="1">
        <f>MOD(SUM(O45:O46, IF(AND(NOT(SUM(Q45:Q46) = 0),NOT(SUM(Q45:Q46) = Q48)),1,0)),2)</f>
        <v>1</v>
      </c>
      <c r="P48" s="1" t="s">
        <v>42</v>
      </c>
      <c r="Q48" s="1">
        <f t="shared" ref="Q48:R48" si="85">MOD(SUM(Q45:Q46, IF(AND(NOT(SUM(R45:R46) = 0),NOT(SUM(R45:R46) = R48)),1,0)),2)</f>
        <v>1</v>
      </c>
      <c r="R48" s="1">
        <f t="shared" si="85"/>
        <v>1</v>
      </c>
      <c r="S48" s="1">
        <f>MOD(SUM(S45:S46, IF(AND(NOT(SUM(T45:T46) = 0),NOT(SUM(T45:T46) = T48)),1,0)),2)</f>
        <v>0</v>
      </c>
      <c r="T48" s="1">
        <f>MOD(SUM(T45:T46, IF(AND(NOT(SUM(V45:V46) = 0),NOT(SUM(V45:V46) = V48)),1,0)),2)</f>
        <v>0</v>
      </c>
      <c r="U48" s="1" t="s">
        <v>42</v>
      </c>
      <c r="V48" s="1">
        <f>MOD(SUM(V45:V46, IF(AND(NOT(SUM(W45:W46) = 0),NOT(SUM(W45:W46) = W48)),1,0)),2)</f>
        <v>1</v>
      </c>
      <c r="W48" s="1">
        <f>MOD(SUM(W45:W46, IF(AND(NOT(SUM(X45:X46) = 0),NOT(SUM(X45:X46) = X48)),1,0)),2)</f>
        <v>0</v>
      </c>
      <c r="X48" s="1">
        <f>MOD(SUM(X45:X46, IF(AND(NOT(SUM(Y45:Y46) = 0),NOT(SUM(Y45:Y46) = Y48)),1,0)),2)</f>
        <v>1</v>
      </c>
      <c r="Y48" s="1">
        <f>MOD(SUM(Y45:Y46, IF(AND(NOT(SUM(Z45:Z46) = 0),NOT(SUM(Z45:Z46) = Z48)),1,0)),2)</f>
        <v>1</v>
      </c>
      <c r="Z48" s="3" t="s">
        <v>46</v>
      </c>
      <c r="AA48" s="1">
        <f>SUM(Y48 *1,X48 *2,W48 *4,V48 * 8, T48 *16, S48 * 32,R48 * 64,Q48 * 128, O48 * 256, N48 * 512, M48 * 1024,L48 * 2048, J48 * 4096, I48 * 8192, H48 * 8192 * 2, G48 * 8192 *4) + IF(AB50 = 0, 0, -65536)</f>
        <v>28619</v>
      </c>
      <c r="AB48" s="4" t="s">
        <v>47</v>
      </c>
      <c r="AG48">
        <f>SUM(AG45:AG46)</f>
        <v>-36917</v>
      </c>
      <c r="AH48" s="4" t="s">
        <v>47</v>
      </c>
    </row>
    <row r="50" spans="4:34" x14ac:dyDescent="0.3">
      <c r="G50" s="9" t="s">
        <v>53</v>
      </c>
      <c r="H50" s="9"/>
      <c r="I50" s="9"/>
      <c r="J50" s="1">
        <f>IF(AND(NOT(SUM(G45:G46) = 0),NOT(SUM(G45:G46) = G48)),1,0)</f>
        <v>1</v>
      </c>
      <c r="L50" s="9" t="s">
        <v>54</v>
      </c>
      <c r="M50" s="9"/>
      <c r="N50" s="9"/>
      <c r="O50" s="5">
        <f>Y48</f>
        <v>1</v>
      </c>
      <c r="Q50" s="9" t="s">
        <v>55</v>
      </c>
      <c r="R50" s="9"/>
      <c r="S50" s="9"/>
      <c r="T50" s="5">
        <f>IF(AND(NOT(SUM(V45:V46) = 0),NOT(SUM(V45:V46) = V48)),1,0)</f>
        <v>1</v>
      </c>
      <c r="V50" s="9" t="s">
        <v>56</v>
      </c>
      <c r="W50" s="9"/>
      <c r="X50" s="9"/>
      <c r="Y50" s="1">
        <f>IF(SUM(G48:J48, L48:O48,Q48:T48,V48:Y48) = 0, 1, 0)</f>
        <v>0</v>
      </c>
      <c r="AA50" s="2" t="s">
        <v>57</v>
      </c>
      <c r="AB50">
        <f>G48</f>
        <v>0</v>
      </c>
      <c r="AC50" s="2" t="s">
        <v>58</v>
      </c>
      <c r="AD50">
        <f>IF(OR(AND(SUM(G45:G46) = 2,G48 = 0),AND(SUM(G45:G46) = 0,G48 = 1)), 1, 0)</f>
        <v>1</v>
      </c>
    </row>
    <row r="52" spans="4:34" ht="15.6" x14ac:dyDescent="0.35">
      <c r="E52" t="s">
        <v>50</v>
      </c>
      <c r="G52" s="1">
        <f>G4</f>
        <v>0</v>
      </c>
      <c r="H52" s="1">
        <f t="shared" ref="H52:Y52" si="86">H4</f>
        <v>0</v>
      </c>
      <c r="I52" s="1">
        <f t="shared" si="86"/>
        <v>0</v>
      </c>
      <c r="J52" s="1">
        <f t="shared" si="86"/>
        <v>1</v>
      </c>
      <c r="K52" s="1" t="str">
        <f t="shared" si="86"/>
        <v>.</v>
      </c>
      <c r="L52" s="1">
        <f t="shared" si="86"/>
        <v>0</v>
      </c>
      <c r="M52" s="1">
        <f t="shared" si="86"/>
        <v>1</v>
      </c>
      <c r="N52" s="1">
        <f t="shared" si="86"/>
        <v>1</v>
      </c>
      <c r="O52" s="1">
        <f t="shared" si="86"/>
        <v>0</v>
      </c>
      <c r="P52" s="1" t="str">
        <f t="shared" si="86"/>
        <v>.</v>
      </c>
      <c r="Q52" s="1">
        <f t="shared" si="86"/>
        <v>1</v>
      </c>
      <c r="R52" s="1">
        <f t="shared" si="86"/>
        <v>0</v>
      </c>
      <c r="S52" s="1">
        <f t="shared" si="86"/>
        <v>1</v>
      </c>
      <c r="T52" s="1">
        <f t="shared" si="86"/>
        <v>1</v>
      </c>
      <c r="U52" s="1" t="str">
        <f t="shared" si="86"/>
        <v>.</v>
      </c>
      <c r="V52" s="1">
        <f t="shared" si="86"/>
        <v>0</v>
      </c>
      <c r="W52" s="1">
        <f t="shared" si="86"/>
        <v>0</v>
      </c>
      <c r="X52" s="1">
        <f t="shared" si="86"/>
        <v>1</v>
      </c>
      <c r="Y52" s="1">
        <f t="shared" si="86"/>
        <v>1</v>
      </c>
      <c r="AE52" t="s">
        <v>48</v>
      </c>
      <c r="AG52">
        <f>C4</f>
        <v>5811</v>
      </c>
    </row>
    <row r="53" spans="4:34" ht="15.6" x14ac:dyDescent="0.35">
      <c r="D53" t="s">
        <v>43</v>
      </c>
      <c r="E53" t="s">
        <v>63</v>
      </c>
      <c r="G53" s="1">
        <f>G11</f>
        <v>1</v>
      </c>
      <c r="H53" s="1">
        <f t="shared" ref="H53:Y53" si="87">H11</f>
        <v>1</v>
      </c>
      <c r="I53" s="1">
        <f t="shared" si="87"/>
        <v>0</v>
      </c>
      <c r="J53" s="1">
        <f t="shared" si="87"/>
        <v>0</v>
      </c>
      <c r="K53" s="1" t="str">
        <f t="shared" si="87"/>
        <v>.</v>
      </c>
      <c r="L53" s="1">
        <f t="shared" si="87"/>
        <v>0</v>
      </c>
      <c r="M53" s="1">
        <f t="shared" si="87"/>
        <v>0</v>
      </c>
      <c r="N53" s="1">
        <f t="shared" si="87"/>
        <v>1</v>
      </c>
      <c r="O53" s="1">
        <f t="shared" si="87"/>
        <v>1</v>
      </c>
      <c r="P53" s="1" t="str">
        <f t="shared" si="87"/>
        <v>.</v>
      </c>
      <c r="Q53" s="1">
        <f t="shared" si="87"/>
        <v>0</v>
      </c>
      <c r="R53" s="1">
        <f t="shared" si="87"/>
        <v>0</v>
      </c>
      <c r="S53" s="1">
        <f t="shared" si="87"/>
        <v>1</v>
      </c>
      <c r="T53" s="1">
        <f t="shared" si="87"/>
        <v>1</v>
      </c>
      <c r="U53" s="1" t="str">
        <f t="shared" si="87"/>
        <v>.</v>
      </c>
      <c r="V53" s="1">
        <f t="shared" si="87"/>
        <v>1</v>
      </c>
      <c r="W53" s="1">
        <f t="shared" si="87"/>
        <v>1</v>
      </c>
      <c r="X53" s="1">
        <f t="shared" si="87"/>
        <v>1</v>
      </c>
      <c r="Y53" s="1">
        <f t="shared" si="87"/>
        <v>1</v>
      </c>
      <c r="AD53" t="s">
        <v>43</v>
      </c>
      <c r="AE53" t="s">
        <v>65</v>
      </c>
      <c r="AG53">
        <f>C11</f>
        <v>-15553</v>
      </c>
    </row>
    <row r="54" spans="4:34" x14ac:dyDescent="0.3">
      <c r="E54" s="7" t="s">
        <v>44</v>
      </c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AC54" s="1" t="s">
        <v>45</v>
      </c>
      <c r="AD54" s="8" t="s">
        <v>52</v>
      </c>
      <c r="AE54" s="8"/>
      <c r="AF54" s="8"/>
      <c r="AG54" s="8"/>
    </row>
    <row r="55" spans="4:34" ht="15.6" x14ac:dyDescent="0.35">
      <c r="F55" s="1"/>
      <c r="G55" s="1">
        <f t="shared" ref="G55:H55" si="88">MOD(SUM(G52:G53, IF(AND(NOT(SUM(H52:H53) = 0),NOT(SUM(H52:H53) = H55)),1,0)),2)</f>
        <v>1</v>
      </c>
      <c r="H55" s="1">
        <f t="shared" si="88"/>
        <v>1</v>
      </c>
      <c r="I55" s="1">
        <f>MOD(SUM(I52:I53, IF(AND(NOT(SUM(J52:J53) = 0),NOT(SUM(J52:J53) = J55)),1,0)),2)</f>
        <v>0</v>
      </c>
      <c r="J55" s="1">
        <f>MOD(SUM(J52:J53, IF(AND(NOT(SUM(L52:L53) = 0),NOT(SUM(L52:L53) = L55)),1,0)),2)</f>
        <v>1</v>
      </c>
      <c r="K55" s="1" t="s">
        <v>42</v>
      </c>
      <c r="L55" s="1">
        <f t="shared" ref="L55:M55" si="89">MOD(SUM(L52:L53, IF(AND(NOT(SUM(M52:M53) = 0),NOT(SUM(M52:M53) = M55)),1,0)),2)</f>
        <v>1</v>
      </c>
      <c r="M55" s="1">
        <f t="shared" si="89"/>
        <v>0</v>
      </c>
      <c r="N55" s="1">
        <f>MOD(SUM(N52:N53, IF(AND(NOT(SUM(O52:O53) = 0),NOT(SUM(O52:O53) = O55)),1,0)),2)</f>
        <v>0</v>
      </c>
      <c r="O55" s="1">
        <f>MOD(SUM(O52:O53, IF(AND(NOT(SUM(Q52:Q53) = 0),NOT(SUM(Q52:Q53) = Q55)),1,0)),2)</f>
        <v>1</v>
      </c>
      <c r="P55" s="1" t="s">
        <v>42</v>
      </c>
      <c r="Q55" s="1">
        <f t="shared" ref="Q55:R55" si="90">MOD(SUM(Q52:Q53, IF(AND(NOT(SUM(R52:R53) = 0),NOT(SUM(R52:R53) = R55)),1,0)),2)</f>
        <v>1</v>
      </c>
      <c r="R55" s="1">
        <f t="shared" si="90"/>
        <v>1</v>
      </c>
      <c r="S55" s="1">
        <f>MOD(SUM(S52:S53, IF(AND(NOT(SUM(T52:T53) = 0),NOT(SUM(T52:T53) = T55)),1,0)),2)</f>
        <v>1</v>
      </c>
      <c r="T55" s="1">
        <f>MOD(SUM(T52:T53, IF(AND(NOT(SUM(V52:V53) = 0),NOT(SUM(V52:V53) = V55)),1,0)),2)</f>
        <v>1</v>
      </c>
      <c r="U55" s="1" t="s">
        <v>42</v>
      </c>
      <c r="V55" s="1">
        <f>MOD(SUM(V52:V53, IF(AND(NOT(SUM(W52:W53) = 0),NOT(SUM(W52:W53) = W55)),1,0)),2)</f>
        <v>0</v>
      </c>
      <c r="W55" s="1">
        <f>MOD(SUM(W52:W53, IF(AND(NOT(SUM(X52:X53) = 0),NOT(SUM(X52:X53) = X55)),1,0)),2)</f>
        <v>0</v>
      </c>
      <c r="X55" s="1">
        <f>MOD(SUM(X52:X53, IF(AND(NOT(SUM(Y52:Y53) = 0),NOT(SUM(Y52:Y53) = Y55)),1,0)),2)</f>
        <v>1</v>
      </c>
      <c r="Y55" s="1">
        <f>MOD(SUM(Y52:Y53, IF(AND(NOT(SUM(Z52:Z53) = 0),NOT(SUM(Z52:Z53) = Z55)),1,0)),2)</f>
        <v>0</v>
      </c>
      <c r="Z55" s="3" t="s">
        <v>46</v>
      </c>
      <c r="AA55" s="1">
        <f>SUM(Y55 *1,X55 *2,W55 *4,V55 * 8, T55 *16, S55 * 32,R55 * 64,Q55 * 128, O55 * 256, N55 * 512, M55 * 1024,L55 * 2048, J55 * 4096, I55 * 8192, H55 * 8192 * 2, G55 * 8192 *4) + IF(AB57 = 0, 0, -65536)</f>
        <v>-9742</v>
      </c>
      <c r="AB55" s="4" t="s">
        <v>47</v>
      </c>
      <c r="AG55">
        <f>SUM(AG52:AG53)</f>
        <v>-9742</v>
      </c>
      <c r="AH55" s="4" t="s">
        <v>47</v>
      </c>
    </row>
    <row r="57" spans="4:34" x14ac:dyDescent="0.3">
      <c r="G57" s="9" t="s">
        <v>53</v>
      </c>
      <c r="H57" s="9"/>
      <c r="I57" s="9"/>
      <c r="J57" s="1">
        <f>IF(AND(NOT(SUM(G52:G53) = 0),NOT(SUM(G52:G53) = G55)),1,0)</f>
        <v>0</v>
      </c>
      <c r="L57" s="9" t="s">
        <v>54</v>
      </c>
      <c r="M57" s="9"/>
      <c r="N57" s="9"/>
      <c r="O57" s="5">
        <f>Y55</f>
        <v>0</v>
      </c>
      <c r="Q57" s="9" t="s">
        <v>55</v>
      </c>
      <c r="R57" s="9"/>
      <c r="S57" s="9"/>
      <c r="T57" s="5">
        <f>IF(AND(NOT(SUM(V52:V53) = 0),NOT(SUM(V52:V53) = V55)),1,0)</f>
        <v>1</v>
      </c>
      <c r="V57" s="9" t="s">
        <v>56</v>
      </c>
      <c r="W57" s="9"/>
      <c r="X57" s="9"/>
      <c r="Y57" s="1">
        <f>IF(SUM(G55:J55, L55:O55,Q55:T55,V55:Y55) = 0, 1, 0)</f>
        <v>0</v>
      </c>
      <c r="AA57" s="2" t="s">
        <v>57</v>
      </c>
      <c r="AB57">
        <f>G55</f>
        <v>1</v>
      </c>
      <c r="AC57" s="2" t="s">
        <v>58</v>
      </c>
      <c r="AD57">
        <f>IF(OR(AND(SUM(G52:G53) = 2,G55 = 0),AND(SUM(G52:G53) = 0,G55 = 1)), 1, 0)</f>
        <v>0</v>
      </c>
    </row>
    <row r="59" spans="4:34" ht="15.6" x14ac:dyDescent="0.35">
      <c r="E59" t="s">
        <v>67</v>
      </c>
      <c r="G59" s="1">
        <f>G14</f>
        <v>1</v>
      </c>
      <c r="H59" s="1">
        <f t="shared" ref="H59:X59" si="91">H14</f>
        <v>1</v>
      </c>
      <c r="I59" s="1">
        <f t="shared" si="91"/>
        <v>0</v>
      </c>
      <c r="J59" s="1">
        <f t="shared" si="91"/>
        <v>1</v>
      </c>
      <c r="K59" s="1" t="str">
        <f t="shared" si="91"/>
        <v>.</v>
      </c>
      <c r="L59" s="1">
        <f t="shared" si="91"/>
        <v>1</v>
      </c>
      <c r="M59" s="1">
        <f t="shared" si="91"/>
        <v>0</v>
      </c>
      <c r="N59" s="1">
        <f t="shared" si="91"/>
        <v>0</v>
      </c>
      <c r="O59" s="1">
        <f t="shared" si="91"/>
        <v>1</v>
      </c>
      <c r="P59" s="1" t="str">
        <f t="shared" si="91"/>
        <v>.</v>
      </c>
      <c r="Q59" s="1">
        <f t="shared" si="91"/>
        <v>1</v>
      </c>
      <c r="R59" s="1">
        <f t="shared" si="91"/>
        <v>1</v>
      </c>
      <c r="S59" s="1">
        <f t="shared" si="91"/>
        <v>1</v>
      </c>
      <c r="T59" s="1">
        <f t="shared" si="91"/>
        <v>1</v>
      </c>
      <c r="U59" s="1" t="str">
        <f t="shared" si="91"/>
        <v>.</v>
      </c>
      <c r="V59" s="1">
        <f t="shared" si="91"/>
        <v>0</v>
      </c>
      <c r="W59" s="1">
        <f t="shared" si="91"/>
        <v>0</v>
      </c>
      <c r="X59" s="1">
        <f t="shared" si="91"/>
        <v>1</v>
      </c>
      <c r="Y59" s="1">
        <f>Y14</f>
        <v>0</v>
      </c>
      <c r="AE59" t="s">
        <v>68</v>
      </c>
      <c r="AG59">
        <f>C14</f>
        <v>-9742</v>
      </c>
    </row>
    <row r="60" spans="4:34" ht="15.6" x14ac:dyDescent="0.35">
      <c r="D60" t="s">
        <v>43</v>
      </c>
      <c r="E60" t="s">
        <v>59</v>
      </c>
      <c r="G60" s="1">
        <f>G6</f>
        <v>0</v>
      </c>
      <c r="H60" s="1">
        <f t="shared" ref="H60:Y60" si="92">H6</f>
        <v>1</v>
      </c>
      <c r="I60" s="1">
        <f t="shared" si="92"/>
        <v>0</v>
      </c>
      <c r="J60" s="1">
        <f t="shared" si="92"/>
        <v>1</v>
      </c>
      <c r="K60" s="1" t="str">
        <f t="shared" si="92"/>
        <v>.</v>
      </c>
      <c r="L60" s="1">
        <f t="shared" si="92"/>
        <v>0</v>
      </c>
      <c r="M60" s="1">
        <f t="shared" si="92"/>
        <v>0</v>
      </c>
      <c r="N60" s="1">
        <f t="shared" si="92"/>
        <v>1</v>
      </c>
      <c r="O60" s="1">
        <f t="shared" si="92"/>
        <v>1</v>
      </c>
      <c r="P60" s="1" t="str">
        <f t="shared" si="92"/>
        <v>.</v>
      </c>
      <c r="Q60" s="1">
        <f t="shared" si="92"/>
        <v>0</v>
      </c>
      <c r="R60" s="1">
        <f t="shared" si="92"/>
        <v>1</v>
      </c>
      <c r="S60" s="1">
        <f t="shared" si="92"/>
        <v>1</v>
      </c>
      <c r="T60" s="1">
        <f t="shared" si="92"/>
        <v>1</v>
      </c>
      <c r="U60" s="1" t="str">
        <f t="shared" si="92"/>
        <v>.</v>
      </c>
      <c r="V60" s="1">
        <f t="shared" si="92"/>
        <v>0</v>
      </c>
      <c r="W60" s="1">
        <f t="shared" si="92"/>
        <v>1</v>
      </c>
      <c r="X60" s="1">
        <f t="shared" si="92"/>
        <v>0</v>
      </c>
      <c r="Y60" s="1">
        <f t="shared" si="92"/>
        <v>0</v>
      </c>
      <c r="AD60" t="s">
        <v>43</v>
      </c>
      <c r="AE60" t="s">
        <v>60</v>
      </c>
      <c r="AG60">
        <f>C6</f>
        <v>21364</v>
      </c>
    </row>
    <row r="61" spans="4:34" x14ac:dyDescent="0.3">
      <c r="E61" s="7" t="s">
        <v>44</v>
      </c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AC61" s="1" t="s">
        <v>45</v>
      </c>
      <c r="AD61" s="8" t="s">
        <v>52</v>
      </c>
      <c r="AE61" s="8"/>
      <c r="AF61" s="8"/>
      <c r="AG61" s="8"/>
    </row>
    <row r="62" spans="4:34" ht="15.6" x14ac:dyDescent="0.35">
      <c r="F62" s="1"/>
      <c r="G62" s="1">
        <f t="shared" ref="G62:H62" si="93">MOD(SUM(G59:G60, IF(AND(NOT(SUM(H59:H60) = 0),NOT(SUM(H59:H60) = H62)),1,0)),2)</f>
        <v>0</v>
      </c>
      <c r="H62" s="1">
        <f t="shared" si="93"/>
        <v>0</v>
      </c>
      <c r="I62" s="1">
        <f>MOD(SUM(I59:I60, IF(AND(NOT(SUM(J59:J60) = 0),NOT(SUM(J59:J60) = J62)),1,0)),2)</f>
        <v>1</v>
      </c>
      <c r="J62" s="1">
        <f>MOD(SUM(J59:J60, IF(AND(NOT(SUM(L59:L60) = 0),NOT(SUM(L59:L60) = L62)),1,0)),2)</f>
        <v>0</v>
      </c>
      <c r="K62" s="1" t="s">
        <v>42</v>
      </c>
      <c r="L62" s="1">
        <f t="shared" ref="L62:M62" si="94">MOD(SUM(L59:L60, IF(AND(NOT(SUM(M59:M60) = 0),NOT(SUM(M59:M60) = M62)),1,0)),2)</f>
        <v>1</v>
      </c>
      <c r="M62" s="1">
        <f t="shared" si="94"/>
        <v>1</v>
      </c>
      <c r="N62" s="1">
        <f>MOD(SUM(N59:N60, IF(AND(NOT(SUM(O59:O60) = 0),NOT(SUM(O59:O60) = O62)),1,0)),2)</f>
        <v>0</v>
      </c>
      <c r="O62" s="1">
        <f>MOD(SUM(O59:O60, IF(AND(NOT(SUM(Q59:Q60) = 0),NOT(SUM(Q59:Q60) = Q62)),1,0)),2)</f>
        <v>1</v>
      </c>
      <c r="P62" s="1" t="s">
        <v>42</v>
      </c>
      <c r="Q62" s="1">
        <f t="shared" ref="Q62:R62" si="95">MOD(SUM(Q59:Q60, IF(AND(NOT(SUM(R59:R60) = 0),NOT(SUM(R59:R60) = R62)),1,0)),2)</f>
        <v>0</v>
      </c>
      <c r="R62" s="1">
        <f t="shared" si="95"/>
        <v>1</v>
      </c>
      <c r="S62" s="1">
        <f>MOD(SUM(S59:S60, IF(AND(NOT(SUM(T59:T60) = 0),NOT(SUM(T59:T60) = T62)),1,0)),2)</f>
        <v>1</v>
      </c>
      <c r="T62" s="1">
        <f>MOD(SUM(T59:T60, IF(AND(NOT(SUM(V59:V60) = 0),NOT(SUM(V59:V60) = V62)),1,0)),2)</f>
        <v>0</v>
      </c>
      <c r="U62" s="1" t="s">
        <v>42</v>
      </c>
      <c r="V62" s="1">
        <f>MOD(SUM(V59:V60, IF(AND(NOT(SUM(W59:W60) = 0),NOT(SUM(W59:W60) = W62)),1,0)),2)</f>
        <v>0</v>
      </c>
      <c r="W62" s="1">
        <f>MOD(SUM(W59:W60, IF(AND(NOT(SUM(X59:X60) = 0),NOT(SUM(X59:X60) = X62)),1,0)),2)</f>
        <v>1</v>
      </c>
      <c r="X62" s="1">
        <f>MOD(SUM(X59:X60, IF(AND(NOT(SUM(Y59:Y60) = 0),NOT(SUM(Y59:Y60) = Y62)),1,0)),2)</f>
        <v>1</v>
      </c>
      <c r="Y62" s="1">
        <f>MOD(SUM(Y59:Y60, IF(AND(NOT(SUM(Z59:Z60) = 0),NOT(SUM(Z59:Z60) = Z62)),1,0)),2)</f>
        <v>0</v>
      </c>
      <c r="Z62" s="3" t="s">
        <v>46</v>
      </c>
      <c r="AA62" s="1">
        <f>SUM(Y62 *1,X62 *2,W62 *4,V62 * 8, T62 *16, S62 * 32,R62 * 64,Q62 * 128, O62 * 256, N62 * 512, M62 * 1024,L62 * 2048, J62 * 4096, I62 * 8192, H62 * 8192 * 2, G62 * 8192 *4) + IF(AB64 = 0, 0, -65536)</f>
        <v>11622</v>
      </c>
      <c r="AB62" s="4" t="s">
        <v>47</v>
      </c>
      <c r="AG62">
        <f>SUM(AG59:AG60)</f>
        <v>11622</v>
      </c>
      <c r="AH62" s="4" t="s">
        <v>47</v>
      </c>
    </row>
    <row r="64" spans="4:34" x14ac:dyDescent="0.3">
      <c r="G64" s="9" t="s">
        <v>53</v>
      </c>
      <c r="H64" s="9"/>
      <c r="I64" s="9"/>
      <c r="J64" s="1">
        <f>IF(AND(NOT(SUM(G59:G60) = 0),NOT(SUM(G59:G60) = G62)),1,0)</f>
        <v>1</v>
      </c>
      <c r="L64" s="9" t="s">
        <v>54</v>
      </c>
      <c r="M64" s="9"/>
      <c r="N64" s="9"/>
      <c r="O64" s="5">
        <f>Y62</f>
        <v>0</v>
      </c>
      <c r="Q64" s="9" t="s">
        <v>55</v>
      </c>
      <c r="R64" s="9"/>
      <c r="S64" s="9"/>
      <c r="T64" s="5">
        <f>IF(AND(NOT(SUM(V59:V60) = 0),NOT(SUM(V59:V60) = V62)),1,0)</f>
        <v>0</v>
      </c>
      <c r="V64" s="9" t="s">
        <v>56</v>
      </c>
      <c r="W64" s="9"/>
      <c r="X64" s="9"/>
      <c r="Y64" s="1">
        <f>IF(SUM(G62:J62, L62:O62,Q62:T62,V62:Y62) = 0, 1, 0)</f>
        <v>0</v>
      </c>
      <c r="AA64" s="2" t="s">
        <v>57</v>
      </c>
      <c r="AB64">
        <f>G62</f>
        <v>0</v>
      </c>
      <c r="AC64" s="2" t="s">
        <v>58</v>
      </c>
      <c r="AD64">
        <f>IF(OR(AND(SUM(G59:G60) = 2,G62 = 0),AND(SUM(G59:G60) = 0,G62 = 1)), 1, 0)</f>
        <v>0</v>
      </c>
    </row>
  </sheetData>
  <mergeCells count="43">
    <mergeCell ref="A17:C19"/>
    <mergeCell ref="E61:Y61"/>
    <mergeCell ref="AD61:AG61"/>
    <mergeCell ref="G64:I64"/>
    <mergeCell ref="L64:N64"/>
    <mergeCell ref="Q64:S64"/>
    <mergeCell ref="V64:X64"/>
    <mergeCell ref="E54:Y54"/>
    <mergeCell ref="AD54:AG54"/>
    <mergeCell ref="G57:I57"/>
    <mergeCell ref="L57:N57"/>
    <mergeCell ref="Q57:S57"/>
    <mergeCell ref="V57:X57"/>
    <mergeCell ref="E47:Y47"/>
    <mergeCell ref="AD47:AG47"/>
    <mergeCell ref="G50:I50"/>
    <mergeCell ref="L50:N50"/>
    <mergeCell ref="Q50:S50"/>
    <mergeCell ref="V50:X50"/>
    <mergeCell ref="E40:Y40"/>
    <mergeCell ref="AD40:AG40"/>
    <mergeCell ref="G43:I43"/>
    <mergeCell ref="L43:N43"/>
    <mergeCell ref="Q43:S43"/>
    <mergeCell ref="V43:X43"/>
    <mergeCell ref="E33:Y33"/>
    <mergeCell ref="AD33:AG33"/>
    <mergeCell ref="G36:I36"/>
    <mergeCell ref="L36:N36"/>
    <mergeCell ref="Q36:S36"/>
    <mergeCell ref="V36:X36"/>
    <mergeCell ref="E26:Y26"/>
    <mergeCell ref="AD26:AG26"/>
    <mergeCell ref="G29:I29"/>
    <mergeCell ref="L29:N29"/>
    <mergeCell ref="E19:Y19"/>
    <mergeCell ref="AD19:AG19"/>
    <mergeCell ref="G22:I22"/>
    <mergeCell ref="L22:N22"/>
    <mergeCell ref="Q22:S22"/>
    <mergeCell ref="V22:X22"/>
    <mergeCell ref="Q29:S29"/>
    <mergeCell ref="V29:X29"/>
  </mergeCells>
  <phoneticPr fontId="1" type="noConversion"/>
  <conditionalFormatting sqref="G4:Y7">
    <cfRule type="cellIs" dxfId="1" priority="4" operator="equal">
      <formula>0</formula>
    </cfRule>
    <cfRule type="colorScale" priority="3">
      <colorScale>
        <cfvo type="num" val="0"/>
        <cfvo type="num" val="1"/>
        <color rgb="FFFF7128"/>
        <color rgb="FFFFEF9C"/>
      </colorScale>
    </cfRule>
    <cfRule type="colorScale" priority="2">
      <colorScale>
        <cfvo type="num" val="0"/>
        <cfvo type="num" val="1"/>
        <color theme="4" tint="0.59999389629810485"/>
        <color theme="0"/>
      </colorScale>
    </cfRule>
    <cfRule type="cellIs" dxfId="0" priority="1" operator="equal">
      <formula>1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 xml:space="preserve">&amp;CДавид Григорьев Владимирович, Вариант 11
</oddHeader>
    <oddFooter>&amp;C
[Дата]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huji mo</dc:creator>
  <cp:lastModifiedBy>huji mo</cp:lastModifiedBy>
  <cp:lastPrinted>2023-11-28T10:59:46Z</cp:lastPrinted>
  <dcterms:created xsi:type="dcterms:W3CDTF">2023-11-23T08:03:41Z</dcterms:created>
  <dcterms:modified xsi:type="dcterms:W3CDTF">2023-11-29T13:24:32Z</dcterms:modified>
</cp:coreProperties>
</file>